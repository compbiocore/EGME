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R:\BM_SpadeLab\EGME\"/>
    </mc:Choice>
  </mc:AlternateContent>
  <bookViews>
    <workbookView xWindow="6120" yWindow="465" windowWidth="28845" windowHeight="19575"/>
  </bookViews>
  <sheets>
    <sheet name="samples" sheetId="8" r:id="rId1"/>
    <sheet name="pivot" sheetId="9" r:id="rId2"/>
    <sheet name="rn4 aligned" sheetId="1" r:id="rId3"/>
    <sheet name="rn6 aligned" sheetId="4" r:id="rId4"/>
    <sheet name="reporting-transcriptome aligned" sheetId="5" r:id="rId5"/>
    <sheet name="pie charts" sheetId="2" r:id="rId6"/>
    <sheet name="data split by treatment" sheetId="3" r:id="rId7"/>
    <sheet name="Sheet1" sheetId="6" r:id="rId8"/>
    <sheet name="tRNA reads to repeatmasker" sheetId="7" r:id="rId9"/>
  </sheets>
  <calcPr calcId="162913"/>
  <pivotCaches>
    <pivotCache cacheId="2" r:id="rId10"/>
  </pivotCaches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2" i="8"/>
  <c r="U41" i="5" l="1"/>
  <c r="U2" i="5"/>
  <c r="AA6" i="5" l="1"/>
  <c r="AA7" i="5"/>
  <c r="Z2" i="5"/>
  <c r="Z3" i="5"/>
  <c r="Z10" i="5"/>
  <c r="Z11" i="5"/>
  <c r="Z18" i="5"/>
  <c r="Z19" i="5"/>
  <c r="Z26" i="5"/>
  <c r="Z35" i="5"/>
  <c r="Z4" i="5"/>
  <c r="Z5" i="5"/>
  <c r="Z12" i="5"/>
  <c r="Z13" i="5"/>
  <c r="Z20" i="5"/>
  <c r="Z21" i="5"/>
  <c r="Z28" i="5"/>
  <c r="Z29" i="5"/>
  <c r="Z36" i="5"/>
  <c r="Z37" i="5"/>
  <c r="Z6" i="5"/>
  <c r="Z7" i="5"/>
  <c r="Z14" i="5"/>
  <c r="Z15" i="5"/>
  <c r="Z22" i="5"/>
  <c r="Z23" i="5"/>
  <c r="Z30" i="5"/>
  <c r="Z31" i="5"/>
  <c r="Z39" i="5"/>
  <c r="Z8" i="5"/>
  <c r="Z9" i="5"/>
  <c r="Z16" i="5"/>
  <c r="Z17" i="5"/>
  <c r="Z25" i="5"/>
  <c r="Z32" i="5"/>
  <c r="Z33" i="5"/>
  <c r="Z40" i="5"/>
  <c r="Z41" i="5"/>
  <c r="V6" i="5" l="1"/>
  <c r="V7" i="5"/>
  <c r="V38" i="5"/>
  <c r="D41" i="5"/>
  <c r="AA41" i="5" s="1"/>
  <c r="D40" i="5"/>
  <c r="AA40" i="5" s="1"/>
  <c r="D39" i="5"/>
  <c r="AA39" i="5" s="1"/>
  <c r="D37" i="5"/>
  <c r="AA37" i="5" s="1"/>
  <c r="D36" i="5"/>
  <c r="AA36" i="5" s="1"/>
  <c r="D35" i="5"/>
  <c r="AA35" i="5" s="1"/>
  <c r="D34" i="5"/>
  <c r="AA34" i="5" s="1"/>
  <c r="D33" i="5"/>
  <c r="AA33" i="5" s="1"/>
  <c r="D32" i="5"/>
  <c r="AA32" i="5" s="1"/>
  <c r="D31" i="5"/>
  <c r="AA31" i="5" s="1"/>
  <c r="D30" i="5"/>
  <c r="AA30" i="5" s="1"/>
  <c r="D29" i="5"/>
  <c r="AA29" i="5" s="1"/>
  <c r="D28" i="5"/>
  <c r="AA28" i="5" s="1"/>
  <c r="D27" i="5"/>
  <c r="AA27" i="5" s="1"/>
  <c r="D26" i="5"/>
  <c r="AA26" i="5" s="1"/>
  <c r="D25" i="5"/>
  <c r="AA25" i="5" s="1"/>
  <c r="D24" i="5"/>
  <c r="AA24" i="5" s="1"/>
  <c r="D23" i="5"/>
  <c r="AA23" i="5" s="1"/>
  <c r="D22" i="5"/>
  <c r="AA22" i="5" s="1"/>
  <c r="D21" i="5"/>
  <c r="AA21" i="5" s="1"/>
  <c r="D20" i="5"/>
  <c r="AA20" i="5" s="1"/>
  <c r="D19" i="5"/>
  <c r="AA19" i="5" s="1"/>
  <c r="D18" i="5"/>
  <c r="AA18" i="5" s="1"/>
  <c r="D17" i="5"/>
  <c r="AA17" i="5" s="1"/>
  <c r="D16" i="5"/>
  <c r="AA16" i="5" s="1"/>
  <c r="D15" i="5"/>
  <c r="AA15" i="5" s="1"/>
  <c r="D14" i="5"/>
  <c r="AA14" i="5" s="1"/>
  <c r="D13" i="5"/>
  <c r="AA13" i="5" s="1"/>
  <c r="D12" i="5"/>
  <c r="AA12" i="5" s="1"/>
  <c r="D11" i="5"/>
  <c r="AA11" i="5" s="1"/>
  <c r="D10" i="5"/>
  <c r="AA10" i="5" s="1"/>
  <c r="D9" i="5"/>
  <c r="AA9" i="5" s="1"/>
  <c r="D8" i="5"/>
  <c r="AA8" i="5" s="1"/>
  <c r="D5" i="5"/>
  <c r="AA5" i="5" s="1"/>
  <c r="D4" i="5"/>
  <c r="AA4" i="5" s="1"/>
  <c r="D3" i="5"/>
  <c r="AA3" i="5" s="1"/>
  <c r="D2" i="5"/>
  <c r="X8" i="5"/>
  <c r="X9" i="5" s="1"/>
  <c r="X6" i="5"/>
  <c r="X7" i="5" s="1"/>
  <c r="W42" i="5"/>
  <c r="W43" i="5" s="1"/>
  <c r="W41" i="5"/>
  <c r="W8" i="5"/>
  <c r="W9" i="5" s="1"/>
  <c r="W39" i="5"/>
  <c r="W6" i="5"/>
  <c r="W7" i="5" s="1"/>
  <c r="W37" i="5"/>
  <c r="W4" i="5"/>
  <c r="W5" i="5" s="1"/>
  <c r="W35" i="5"/>
  <c r="V39" i="5" l="1"/>
  <c r="V34" i="5"/>
  <c r="V22" i="5"/>
  <c r="V18" i="5"/>
  <c r="V2" i="5"/>
  <c r="AA2" i="5"/>
  <c r="V16" i="5"/>
  <c r="V41" i="5"/>
  <c r="V25" i="5"/>
  <c r="V9" i="5"/>
  <c r="V31" i="5"/>
  <c r="V15" i="5"/>
  <c r="V37" i="5"/>
  <c r="V21" i="5"/>
  <c r="V5" i="5"/>
  <c r="V27" i="5"/>
  <c r="V11" i="5"/>
  <c r="V40" i="5"/>
  <c r="V24" i="5"/>
  <c r="V8" i="5"/>
  <c r="V30" i="5"/>
  <c r="V14" i="5"/>
  <c r="V36" i="5"/>
  <c r="V20" i="5"/>
  <c r="V4" i="5"/>
  <c r="V26" i="5"/>
  <c r="V10" i="5"/>
  <c r="V32" i="5"/>
  <c r="V28" i="5"/>
  <c r="V12" i="5"/>
  <c r="V33" i="5"/>
  <c r="V17" i="5"/>
  <c r="V23" i="5"/>
  <c r="V29" i="5"/>
  <c r="V13" i="5"/>
  <c r="V35" i="5"/>
  <c r="V19" i="5"/>
  <c r="V3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5" i="5"/>
  <c r="U26" i="5"/>
  <c r="U28" i="5"/>
  <c r="U29" i="5"/>
  <c r="U30" i="5"/>
  <c r="U31" i="5"/>
  <c r="U32" i="5"/>
  <c r="U33" i="5"/>
  <c r="U35" i="5"/>
  <c r="U36" i="5"/>
  <c r="U37" i="5"/>
  <c r="U39" i="5"/>
  <c r="U40" i="5"/>
  <c r="B12" i="2" l="1"/>
  <c r="R2" i="5" l="1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5" i="5"/>
  <c r="R26" i="5"/>
  <c r="R28" i="5"/>
  <c r="R29" i="5"/>
  <c r="R30" i="5"/>
  <c r="R31" i="5"/>
  <c r="R32" i="5"/>
  <c r="R33" i="5"/>
  <c r="R35" i="5"/>
  <c r="R36" i="5"/>
  <c r="R37" i="5"/>
  <c r="R39" i="5"/>
  <c r="R40" i="5"/>
  <c r="R41" i="5"/>
  <c r="Q34" i="5"/>
  <c r="X4" i="5" s="1"/>
  <c r="X5" i="5" s="1"/>
  <c r="Q27" i="5"/>
  <c r="Q24" i="5"/>
  <c r="O12" i="3"/>
  <c r="O51" i="3"/>
  <c r="O37" i="3"/>
  <c r="O25" i="3"/>
  <c r="N25" i="3"/>
  <c r="N12" i="3"/>
  <c r="N51" i="3"/>
  <c r="N37" i="3"/>
  <c r="M37" i="3"/>
  <c r="M25" i="3"/>
  <c r="M12" i="3"/>
  <c r="M51" i="3"/>
  <c r="L51" i="3"/>
  <c r="L38" i="3"/>
  <c r="L25" i="3"/>
  <c r="L12" i="3"/>
  <c r="J12" i="3"/>
  <c r="J25" i="3"/>
  <c r="J38" i="3"/>
  <c r="J51" i="3"/>
  <c r="H51" i="3"/>
  <c r="F51" i="3"/>
  <c r="G51" i="3"/>
  <c r="I51" i="3"/>
  <c r="K51" i="3"/>
  <c r="H38" i="3"/>
  <c r="H25" i="3"/>
  <c r="H12" i="3"/>
  <c r="E38" i="3"/>
  <c r="E51" i="3"/>
  <c r="D51" i="3"/>
  <c r="F38" i="3"/>
  <c r="K38" i="3" s="1"/>
  <c r="G38" i="3"/>
  <c r="I38" i="3"/>
  <c r="D38" i="3"/>
  <c r="E12" i="3"/>
  <c r="E25" i="3"/>
  <c r="F25" i="3"/>
  <c r="K25" i="3" s="1"/>
  <c r="G25" i="3"/>
  <c r="I25" i="3"/>
  <c r="D25" i="3"/>
  <c r="G12" i="3"/>
  <c r="F12" i="3"/>
  <c r="K12" i="3" s="1"/>
  <c r="I12" i="3"/>
  <c r="D12" i="3"/>
  <c r="F5" i="2"/>
  <c r="F4" i="2"/>
  <c r="F3" i="2"/>
  <c r="F2" i="2"/>
  <c r="G42" i="5"/>
  <c r="C42" i="5"/>
  <c r="F42" i="5"/>
  <c r="E42" i="5"/>
  <c r="D24" i="1"/>
  <c r="D41" i="1" s="1"/>
  <c r="D27" i="1"/>
  <c r="D34" i="1"/>
  <c r="L3" i="1"/>
  <c r="L41" i="1" s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I41" i="1"/>
  <c r="J41" i="1"/>
  <c r="E41" i="1"/>
  <c r="H41" i="1"/>
  <c r="G41" i="1"/>
  <c r="F23" i="1"/>
  <c r="F9" i="1"/>
  <c r="F2" i="1"/>
  <c r="F12" i="1"/>
  <c r="F41" i="1" s="1"/>
  <c r="F20" i="1"/>
  <c r="Z24" i="5" l="1"/>
  <c r="U24" i="5"/>
  <c r="Z27" i="5"/>
  <c r="X35" i="5"/>
  <c r="U27" i="5"/>
  <c r="Z34" i="5"/>
  <c r="X42" i="5"/>
  <c r="X43" i="5" s="1"/>
  <c r="X39" i="5"/>
  <c r="X41" i="5"/>
  <c r="X37" i="5"/>
  <c r="U34" i="5"/>
  <c r="R24" i="5"/>
  <c r="R27" i="5"/>
  <c r="R34" i="5"/>
</calcChain>
</file>

<file path=xl/sharedStrings.xml><?xml version="1.0" encoding="utf-8"?>
<sst xmlns="http://schemas.openxmlformats.org/spreadsheetml/2006/main" count="308" uniqueCount="155">
  <si>
    <t>percent non-coding transcript fragments</t>
    <phoneticPr fontId="2" type="noConversion"/>
  </si>
  <si>
    <t>percent piRNAS that also map to non-coding gene transcripts</t>
    <phoneticPr fontId="2" type="noConversion"/>
  </si>
  <si>
    <t>piRNA reads mapped to repeat masker</t>
    <phoneticPr fontId="2" type="noConversion"/>
  </si>
  <si>
    <t>%piRNAS mapped to repeat masker</t>
    <phoneticPr fontId="2" type="noConversion"/>
  </si>
  <si>
    <t>coding mRNA</t>
    <phoneticPr fontId="2" type="noConversion"/>
  </si>
  <si>
    <t>tRNA</t>
    <phoneticPr fontId="2" type="noConversion"/>
  </si>
  <si>
    <t>all refseq reads peak ratio</t>
    <phoneticPr fontId="2" type="noConversion"/>
  </si>
  <si>
    <t>coding mRNA reads peak ratio</t>
    <phoneticPr fontId="2" type="noConversion"/>
  </si>
  <si>
    <t>average read length</t>
    <phoneticPr fontId="2" type="noConversion"/>
  </si>
  <si>
    <t>average size all assigned reads</t>
  </si>
  <si>
    <t>reads mapped to coding mRNA</t>
    <phoneticPr fontId="2" type="noConversion"/>
  </si>
  <si>
    <t>average read length</t>
    <phoneticPr fontId="2" type="noConversion"/>
  </si>
  <si>
    <t>average read length</t>
    <phoneticPr fontId="2" type="noConversion"/>
  </si>
  <si>
    <t>miRNA avg size</t>
    <phoneticPr fontId="2" type="noConversion"/>
  </si>
  <si>
    <t>average coding mRNA read size</t>
    <phoneticPr fontId="2" type="noConversion"/>
  </si>
  <si>
    <t>piRNA average size</t>
    <phoneticPr fontId="2" type="noConversion"/>
  </si>
  <si>
    <t>tRNA average size</t>
    <phoneticPr fontId="2" type="noConversion"/>
  </si>
  <si>
    <t>treatment</t>
    <phoneticPr fontId="2" type="noConversion"/>
  </si>
  <si>
    <t>miRNA's</t>
    <phoneticPr fontId="2" type="noConversion"/>
  </si>
  <si>
    <t>piRNA's</t>
    <phoneticPr fontId="2" type="noConversion"/>
  </si>
  <si>
    <t>tRF's</t>
    <phoneticPr fontId="2" type="noConversion"/>
  </si>
  <si>
    <t>6.4% ± 1%</t>
    <phoneticPr fontId="2" type="noConversion"/>
  </si>
  <si>
    <t>32.9 ± 0.77%</t>
  </si>
  <si>
    <t>31.5% ± 1.7%</t>
  </si>
  <si>
    <t>32.2% ± 2.2%</t>
  </si>
  <si>
    <t>tRNA</t>
  </si>
  <si>
    <t>4.9% ± 0.3%</t>
  </si>
  <si>
    <t>10.5% ± 0.9%***</t>
  </si>
  <si>
    <t>54.8% ± 4.1%</t>
  </si>
  <si>
    <t>65.6% ± 1.61%</t>
  </si>
  <si>
    <t>55% ± 3.5%</t>
  </si>
  <si>
    <t>average mRNA length</t>
    <phoneticPr fontId="2" type="noConversion"/>
  </si>
  <si>
    <t>mRNA peak ratio</t>
    <phoneticPr fontId="2" type="noConversion"/>
  </si>
  <si>
    <t>average piRNA length</t>
    <phoneticPr fontId="2" type="noConversion"/>
  </si>
  <si>
    <t>piRNA peak ratio</t>
    <phoneticPr fontId="2" type="noConversion"/>
  </si>
  <si>
    <t>unique mRNAs</t>
    <phoneticPr fontId="2" type="noConversion"/>
  </si>
  <si>
    <t>average tRNA length</t>
    <phoneticPr fontId="2" type="noConversion"/>
  </si>
  <si>
    <t>tRNA length ratio</t>
    <phoneticPr fontId="2" type="noConversion"/>
  </si>
  <si>
    <t>chip</t>
    <phoneticPr fontId="0" type="noConversion"/>
  </si>
  <si>
    <t>sample number</t>
    <phoneticPr fontId="0" type="noConversion"/>
  </si>
  <si>
    <t>treatment (mg/kg)</t>
    <phoneticPr fontId="0" type="noConversion"/>
  </si>
  <si>
    <t>sample number 30 had a missing reagent during the hybridization and ligation step so I had to remake the library in it's own batch after all the others were done</t>
    <phoneticPr fontId="0" type="noConversion"/>
  </si>
  <si>
    <t>total reads</t>
  </si>
  <si>
    <t>percent tRNA</t>
  </si>
  <si>
    <t>percent piRNA</t>
  </si>
  <si>
    <t>percent miRNA</t>
  </si>
  <si>
    <t>percent mRNA fragments</t>
  </si>
  <si>
    <t>uncategorized</t>
  </si>
  <si>
    <t>percent aligned Bowtie2</t>
  </si>
  <si>
    <t>uncategorized</t>
    <phoneticPr fontId="2" type="noConversion"/>
  </si>
  <si>
    <t>mRNA fragments</t>
    <phoneticPr fontId="2" type="noConversion"/>
  </si>
  <si>
    <t>average</t>
    <phoneticPr fontId="2" type="noConversion"/>
  </si>
  <si>
    <t>RNA type</t>
  </si>
  <si>
    <t>control</t>
  </si>
  <si>
    <t>50 mg/kg</t>
  </si>
  <si>
    <t>60 mg/kg</t>
  </si>
  <si>
    <t>75 mg/kg</t>
  </si>
  <si>
    <t>all assigned reads</t>
  </si>
  <si>
    <t>miRNA</t>
  </si>
  <si>
    <t>17.71 ± 0.05</t>
  </si>
  <si>
    <t>17.61 ± 0.03</t>
  </si>
  <si>
    <t>17.7 ± 0.08</t>
  </si>
  <si>
    <t>17.71 ± 0.07</t>
  </si>
  <si>
    <t>23.1 ± 0.16</t>
  </si>
  <si>
    <t>23.07 ± 0.21</t>
  </si>
  <si>
    <t>26.48 ± 0.13</t>
  </si>
  <si>
    <t>26.82 ± 0.14</t>
  </si>
  <si>
    <t>27.31 ± 0.09***</t>
  </si>
  <si>
    <t>27.67 ± 0.14***</t>
  </si>
  <si>
    <t>mRNA fragments</t>
  </si>
  <si>
    <t>tRFs</t>
  </si>
  <si>
    <t>22.93 ± 0.33</t>
  </si>
  <si>
    <r>
      <t xml:space="preserve">22.82 </t>
    </r>
    <r>
      <rPr>
        <sz val="14"/>
        <color indexed="8"/>
        <rFont val="Calibri"/>
        <family val="2"/>
      </rPr>
      <t>±</t>
    </r>
    <r>
      <rPr>
        <sz val="14"/>
        <color indexed="8"/>
        <rFont val="Arial"/>
        <family val="2"/>
      </rPr>
      <t xml:space="preserve"> 0.22</t>
    </r>
  </si>
  <si>
    <r>
      <t xml:space="preserve">27.24 </t>
    </r>
    <r>
      <rPr>
        <sz val="14"/>
        <color indexed="8"/>
        <rFont val="Calibri"/>
        <family val="2"/>
      </rPr>
      <t>±</t>
    </r>
    <r>
      <rPr>
        <sz val="14"/>
        <color indexed="8"/>
        <rFont val="Arial"/>
        <family val="2"/>
      </rPr>
      <t xml:space="preserve"> 0.11</t>
    </r>
  </si>
  <si>
    <r>
      <t xml:space="preserve">27.86 </t>
    </r>
    <r>
      <rPr>
        <sz val="14"/>
        <color indexed="8"/>
        <rFont val="Calibri"/>
        <family val="2"/>
      </rPr>
      <t>±</t>
    </r>
    <r>
      <rPr>
        <sz val="14"/>
        <color indexed="8"/>
        <rFont val="Arial"/>
        <family val="2"/>
      </rPr>
      <t xml:space="preserve"> 0.32</t>
    </r>
  </si>
  <si>
    <r>
      <t xml:space="preserve">28.22 </t>
    </r>
    <r>
      <rPr>
        <b/>
        <i/>
        <sz val="14"/>
        <color indexed="8"/>
        <rFont val="Calibri"/>
        <family val="2"/>
      </rPr>
      <t>±</t>
    </r>
    <r>
      <rPr>
        <b/>
        <i/>
        <sz val="14"/>
        <color indexed="8"/>
        <rFont val="Arial"/>
        <family val="2"/>
      </rPr>
      <t xml:space="preserve"> 0.21***</t>
    </r>
  </si>
  <si>
    <r>
      <t xml:space="preserve">28.85 </t>
    </r>
    <r>
      <rPr>
        <b/>
        <i/>
        <sz val="14"/>
        <color indexed="8"/>
        <rFont val="Calibri"/>
        <family val="2"/>
      </rPr>
      <t>±</t>
    </r>
    <r>
      <rPr>
        <b/>
        <i/>
        <sz val="14"/>
        <color indexed="8"/>
        <rFont val="Arial"/>
        <family val="2"/>
      </rPr>
      <t xml:space="preserve"> 0.20***</t>
    </r>
  </si>
  <si>
    <r>
      <t xml:space="preserve">26.41 </t>
    </r>
    <r>
      <rPr>
        <sz val="14"/>
        <color indexed="8"/>
        <rFont val="Calibri"/>
        <family val="2"/>
      </rPr>
      <t>±</t>
    </r>
    <r>
      <rPr>
        <sz val="14"/>
        <color indexed="8"/>
        <rFont val="Arial"/>
        <family val="2"/>
      </rPr>
      <t xml:space="preserve"> 0.14</t>
    </r>
  </si>
  <si>
    <r>
      <t xml:space="preserve">26.63 </t>
    </r>
    <r>
      <rPr>
        <sz val="14"/>
        <color indexed="8"/>
        <rFont val="Calibri"/>
        <family val="2"/>
      </rPr>
      <t>±</t>
    </r>
    <r>
      <rPr>
        <sz val="14"/>
        <color indexed="8"/>
        <rFont val="Arial"/>
        <family val="2"/>
      </rPr>
      <t xml:space="preserve"> 0.14</t>
    </r>
  </si>
  <si>
    <r>
      <t xml:space="preserve">27.43 </t>
    </r>
    <r>
      <rPr>
        <b/>
        <i/>
        <sz val="14"/>
        <color indexed="8"/>
        <rFont val="Calibri"/>
        <family val="2"/>
      </rPr>
      <t>±</t>
    </r>
    <r>
      <rPr>
        <b/>
        <i/>
        <sz val="14"/>
        <color indexed="8"/>
        <rFont val="Arial"/>
        <family val="2"/>
      </rPr>
      <t xml:space="preserve"> 0.19***</t>
    </r>
  </si>
  <si>
    <r>
      <t xml:space="preserve">28.48 </t>
    </r>
    <r>
      <rPr>
        <b/>
        <i/>
        <sz val="14"/>
        <color indexed="8"/>
        <rFont val="Calibri"/>
        <family val="2"/>
      </rPr>
      <t>±</t>
    </r>
    <r>
      <rPr>
        <b/>
        <i/>
        <sz val="14"/>
        <color indexed="8"/>
        <rFont val="Arial"/>
        <family val="2"/>
      </rPr>
      <t xml:space="preserve"> 0.24***</t>
    </r>
  </si>
  <si>
    <t>RNA type</t>
    <phoneticPr fontId="2" type="noConversion"/>
  </si>
  <si>
    <t>0 mg/kg</t>
    <phoneticPr fontId="2" type="noConversion"/>
  </si>
  <si>
    <t>50 mg/kg</t>
    <phoneticPr fontId="2" type="noConversion"/>
  </si>
  <si>
    <t>60 mg/kg</t>
    <phoneticPr fontId="2" type="noConversion"/>
  </si>
  <si>
    <t>75 mg/kg</t>
    <phoneticPr fontId="2" type="noConversion"/>
  </si>
  <si>
    <t>miRNA</t>
    <phoneticPr fontId="2" type="noConversion"/>
  </si>
  <si>
    <t>8.6% ±0.7%***</t>
    <phoneticPr fontId="2" type="noConversion"/>
  </si>
  <si>
    <t>piRNA</t>
    <phoneticPr fontId="2" type="noConversion"/>
  </si>
  <si>
    <t>tRFs</t>
    <phoneticPr fontId="2" type="noConversion"/>
  </si>
  <si>
    <t>average</t>
    <phoneticPr fontId="2" type="noConversion"/>
  </si>
  <si>
    <t>x</t>
    <phoneticPr fontId="2" type="noConversion"/>
  </si>
  <si>
    <t>average basepair length</t>
    <phoneticPr fontId="2" type="noConversion"/>
  </si>
  <si>
    <t>total fragment peak ratio</t>
  </si>
  <si>
    <t>piRNA peak ratio</t>
  </si>
  <si>
    <t>tRNA peak ratio</t>
  </si>
  <si>
    <t>miRNAs</t>
    <phoneticPr fontId="2" type="noConversion"/>
  </si>
  <si>
    <t>miRNA peak ratio</t>
    <phoneticPr fontId="2" type="noConversion"/>
  </si>
  <si>
    <t>X</t>
    <phoneticPr fontId="2" type="noConversion"/>
  </si>
  <si>
    <t>percent coding mRNA fragments</t>
    <phoneticPr fontId="2" type="noConversion"/>
  </si>
  <si>
    <t>percent non-coding mRNA frag,emts</t>
    <phoneticPr fontId="2" type="noConversion"/>
  </si>
  <si>
    <t xml:space="preserve"> coding mRNA fragments </t>
    <phoneticPr fontId="2" type="noConversion"/>
  </si>
  <si>
    <t>non-coding transcript fragments</t>
    <phoneticPr fontId="2" type="noConversion"/>
  </si>
  <si>
    <t>tRNA ratio</t>
  </si>
  <si>
    <t>tRNA average size</t>
  </si>
  <si>
    <t>mRNA</t>
  </si>
  <si>
    <t>"other" RNAs</t>
  </si>
  <si>
    <t>all aligned reads size</t>
    <phoneticPr fontId="2" type="noConversion"/>
  </si>
  <si>
    <t>all aligned reads ratio</t>
    <phoneticPr fontId="2" type="noConversion"/>
  </si>
  <si>
    <t>piRNA</t>
  </si>
  <si>
    <t>mRNA ratio</t>
    <phoneticPr fontId="2" type="noConversion"/>
  </si>
  <si>
    <t>mRNA average size</t>
    <phoneticPr fontId="2" type="noConversion"/>
  </si>
  <si>
    <t>normalized unique mRNAs (to library size)</t>
  </si>
  <si>
    <t>rn5_aligned tRNAs</t>
  </si>
  <si>
    <t>8% ± 1.5%</t>
  </si>
  <si>
    <t>x</t>
  </si>
  <si>
    <t>unassigned</t>
  </si>
  <si>
    <t>top 1 percent mRNA counts</t>
  </si>
  <si>
    <t>top 1% mRNA percent total</t>
  </si>
  <si>
    <t>ratio top1/ all mRNA</t>
  </si>
  <si>
    <t>Exposure (mg/kg)</t>
  </si>
  <si>
    <t>percent total reads</t>
  </si>
  <si>
    <t>4.6% ± 0.4%</t>
  </si>
  <si>
    <t>number of mRNA reads</t>
  </si>
  <si>
    <t>shared top 1 percent mRNAS (~100 mRNAs)</t>
  </si>
  <si>
    <t>shared 1percent compared to total reads</t>
  </si>
  <si>
    <t>shared top 1 percent as compared to all mRNA reads</t>
  </si>
  <si>
    <t>2.67% ± 0.27%</t>
  </si>
  <si>
    <t>3.06% ± 0.16%</t>
  </si>
  <si>
    <t>3.90% ± 0.84%</t>
  </si>
  <si>
    <t>7.45% ± 0.94%**</t>
  </si>
  <si>
    <t>rat number-library</t>
  </si>
  <si>
    <t>percent tRNAs aligned to repeatmasker</t>
  </si>
  <si>
    <t>exposure</t>
  </si>
  <si>
    <t>rn6_ubdated_gtRNAdb</t>
  </si>
  <si>
    <t>updated gtRNAdb tRNA size</t>
  </si>
  <si>
    <t>peak ratio</t>
  </si>
  <si>
    <t>chip</t>
  </si>
  <si>
    <t>sample number</t>
  </si>
  <si>
    <t>treatment (mg/kg)</t>
  </si>
  <si>
    <t>folder</t>
  </si>
  <si>
    <t>100.00 fastq files</t>
  </si>
  <si>
    <t>date</t>
  </si>
  <si>
    <t>100.21 fastq files</t>
  </si>
  <si>
    <t>species</t>
  </si>
  <si>
    <t>strain</t>
  </si>
  <si>
    <t>rat</t>
  </si>
  <si>
    <t>Fischer</t>
  </si>
  <si>
    <t>age at T0 (weeks)</t>
  </si>
  <si>
    <t xml:space="preserve">exposure days </t>
  </si>
  <si>
    <t>post-exposure interval (weeks)</t>
  </si>
  <si>
    <t>Row Labels</t>
  </si>
  <si>
    <t>(blank)</t>
  </si>
  <si>
    <t>Grand Total</t>
  </si>
  <si>
    <t>Count of sample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</si>
</sst>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Verdana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i/>
      <sz val="14"/>
      <color indexed="8"/>
      <name val="Arial"/>
      <family val="2"/>
    </font>
    <font>
      <sz val="14"/>
      <color indexed="8"/>
      <name val="Calibri"/>
      <family val="2"/>
    </font>
    <font>
      <b/>
      <i/>
      <sz val="14"/>
      <color indexed="8"/>
      <name val="Calibri"/>
      <family val="2"/>
    </font>
    <font>
      <b/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Border="1"/>
    <xf numFmtId="0" fontId="0" fillId="0" borderId="0" xfId="0" applyFill="1" applyBorder="1"/>
    <xf numFmtId="0" fontId="0" fillId="3" borderId="0" xfId="0" applyFill="1" applyBorder="1"/>
    <xf numFmtId="0" fontId="0" fillId="2" borderId="1" xfId="0" applyFill="1" applyBorder="1"/>
    <xf numFmtId="0" fontId="0" fillId="4" borderId="0" xfId="0" applyFill="1" applyBorder="1"/>
    <xf numFmtId="0" fontId="0" fillId="3" borderId="2" xfId="0" applyFill="1" applyBorder="1"/>
    <xf numFmtId="0" fontId="0" fillId="5" borderId="0" xfId="0" applyFill="1" applyBorder="1"/>
    <xf numFmtId="0" fontId="0" fillId="6" borderId="0" xfId="0" applyFill="1" applyBorder="1"/>
    <xf numFmtId="0" fontId="0" fillId="3" borderId="1" xfId="0" applyFill="1" applyBorder="1"/>
    <xf numFmtId="0" fontId="0" fillId="7" borderId="0" xfId="0" applyFill="1" applyBorder="1"/>
    <xf numFmtId="0" fontId="0" fillId="4" borderId="2" xfId="0" applyFill="1" applyBorder="1"/>
    <xf numFmtId="0" fontId="0" fillId="8" borderId="0" xfId="0" applyFill="1" applyBorder="1"/>
    <xf numFmtId="0" fontId="0" fillId="9" borderId="0" xfId="0" applyFill="1" applyBorder="1"/>
    <xf numFmtId="0" fontId="0" fillId="10" borderId="0" xfId="0" applyFill="1" applyBorder="1"/>
    <xf numFmtId="0" fontId="0" fillId="11" borderId="2" xfId="0" applyFill="1" applyBorder="1"/>
    <xf numFmtId="0" fontId="0" fillId="12" borderId="0" xfId="0" applyFill="1" applyBorder="1"/>
    <xf numFmtId="0" fontId="0" fillId="11" borderId="0" xfId="0" applyFill="1" applyBorder="1"/>
    <xf numFmtId="0" fontId="0" fillId="11" borderId="1" xfId="0" applyFill="1" applyBorder="1"/>
    <xf numFmtId="0" fontId="0" fillId="5" borderId="2" xfId="0" applyFill="1" applyBorder="1"/>
    <xf numFmtId="0" fontId="0" fillId="5" borderId="1" xfId="0" applyFill="1" applyBorder="1"/>
    <xf numFmtId="0" fontId="0" fillId="6" borderId="2" xfId="0" applyFill="1" applyBorder="1"/>
    <xf numFmtId="0" fontId="0" fillId="13" borderId="0" xfId="0" applyFill="1" applyBorder="1"/>
    <xf numFmtId="0" fontId="0" fillId="6" borderId="1" xfId="0" applyFill="1" applyBorder="1"/>
    <xf numFmtId="0" fontId="0" fillId="7" borderId="2" xfId="0" applyFill="1" applyBorder="1"/>
    <xf numFmtId="0" fontId="0" fillId="7" borderId="1" xfId="0" applyFill="1" applyBorder="1"/>
    <xf numFmtId="0" fontId="0" fillId="13" borderId="2" xfId="0" applyFill="1" applyBorder="1"/>
    <xf numFmtId="0" fontId="0" fillId="13" borderId="1" xfId="0" applyFill="1" applyBorder="1"/>
    <xf numFmtId="0" fontId="0" fillId="8" borderId="2" xfId="0" applyFill="1" applyBorder="1"/>
    <xf numFmtId="0" fontId="0" fillId="8" borderId="1" xfId="0" applyFill="1" applyBorder="1"/>
    <xf numFmtId="0" fontId="0" fillId="9" borderId="2" xfId="0" applyFill="1" applyBorder="1"/>
    <xf numFmtId="0" fontId="0" fillId="9" borderId="1" xfId="0" applyFill="1" applyBorder="1"/>
    <xf numFmtId="0" fontId="0" fillId="10" borderId="2" xfId="0" applyFill="1" applyBorder="1"/>
    <xf numFmtId="0" fontId="0" fillId="10" borderId="1" xfId="0" applyFill="1" applyBorder="1"/>
    <xf numFmtId="0" fontId="0" fillId="12" borderId="2" xfId="0" applyFill="1" applyBorder="1"/>
    <xf numFmtId="0" fontId="0" fillId="12" borderId="1" xfId="0" applyFill="1" applyBorder="1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0" fillId="2" borderId="2" xfId="0" applyFill="1" applyBorder="1"/>
    <xf numFmtId="0" fontId="3" fillId="0" borderId="0" xfId="0" applyFont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11" borderId="0" xfId="0" applyFill="1"/>
    <xf numFmtId="0" fontId="0" fillId="4" borderId="1" xfId="0" applyFill="1" applyBorder="1"/>
    <xf numFmtId="0" fontId="4" fillId="0" borderId="0" xfId="0" applyFont="1"/>
    <xf numFmtId="0" fontId="5" fillId="0" borderId="8" xfId="0" applyFont="1" applyBorder="1"/>
    <xf numFmtId="0" fontId="5" fillId="0" borderId="9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0" xfId="0" applyFont="1" applyBorder="1" applyAlignment="1">
      <alignment wrapText="1"/>
    </xf>
    <xf numFmtId="0" fontId="6" fillId="0" borderId="11" xfId="0" applyFont="1" applyBorder="1"/>
    <xf numFmtId="0" fontId="7" fillId="0" borderId="11" xfId="0" applyFont="1" applyBorder="1"/>
    <xf numFmtId="0" fontId="5" fillId="0" borderId="10" xfId="0" applyFont="1" applyBorder="1"/>
    <xf numFmtId="0" fontId="6" fillId="0" borderId="14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0" borderId="7" xfId="0" applyFont="1" applyBorder="1"/>
    <xf numFmtId="0" fontId="7" fillId="0" borderId="0" xfId="0" applyFont="1"/>
    <xf numFmtId="0" fontId="6" fillId="0" borderId="0" xfId="0" applyFont="1" applyFill="1" applyBorder="1"/>
    <xf numFmtId="0" fontId="7" fillId="0" borderId="15" xfId="0" applyFont="1" applyBorder="1"/>
    <xf numFmtId="0" fontId="7" fillId="0" borderId="14" xfId="0" applyFont="1" applyBorder="1"/>
    <xf numFmtId="0" fontId="0" fillId="0" borderId="16" xfId="0" applyBorder="1"/>
    <xf numFmtId="0" fontId="0" fillId="0" borderId="17" xfId="0" applyBorder="1"/>
    <xf numFmtId="0" fontId="4" fillId="0" borderId="1" xfId="0" applyFont="1" applyBorder="1"/>
    <xf numFmtId="0" fontId="4" fillId="0" borderId="18" xfId="0" applyFont="1" applyBorder="1"/>
    <xf numFmtId="0" fontId="4" fillId="0" borderId="19" xfId="0" applyFont="1" applyBorder="1"/>
    <xf numFmtId="0" fontId="10" fillId="0" borderId="17" xfId="0" applyFont="1" applyBorder="1"/>
    <xf numFmtId="0" fontId="4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2" fontId="0" fillId="0" borderId="0" xfId="0" applyNumberFormat="1" applyFill="1" applyBorder="1"/>
    <xf numFmtId="14" fontId="0" fillId="0" borderId="0" xfId="0" applyNumberFormat="1"/>
    <xf numFmtId="16" fontId="0" fillId="0" borderId="0" xfId="0" applyNumberFormat="1"/>
    <xf numFmtId="0" fontId="0" fillId="0" borderId="20" xfId="0" pivotButton="1" applyBorder="1"/>
    <xf numFmtId="0" fontId="0" fillId="0" borderId="22" xfId="0" applyBorder="1"/>
    <xf numFmtId="0" fontId="0" fillId="0" borderId="20" xfId="0" applyBorder="1" applyAlignment="1">
      <alignment horizontal="left"/>
    </xf>
    <xf numFmtId="0" fontId="0" fillId="0" borderId="22" xfId="0" applyNumberFormat="1" applyBorder="1"/>
    <xf numFmtId="0" fontId="0" fillId="0" borderId="21" xfId="0" applyBorder="1" applyAlignment="1">
      <alignment horizontal="left"/>
    </xf>
    <xf numFmtId="0" fontId="0" fillId="0" borderId="23" xfId="0" applyNumberFormat="1" applyBorder="1"/>
    <xf numFmtId="0" fontId="0" fillId="0" borderId="25" xfId="0" applyBorder="1" applyAlignment="1">
      <alignment horizontal="left"/>
    </xf>
    <xf numFmtId="0" fontId="0" fillId="0" borderId="24" xfId="0" applyNumberFormat="1" applyBorder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rn6</a:t>
            </a:r>
            <a:r>
              <a:rPr lang="en-US" baseline="0"/>
              <a:t> v rn5 tRNA percent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'reporting-transcriptome aligned'!$G$4:$G$41</c:f>
              <c:numCache>
                <c:formatCode>General</c:formatCode>
                <c:ptCount val="38"/>
                <c:pt idx="0">
                  <c:v>66.87</c:v>
                </c:pt>
                <c:pt idx="1">
                  <c:v>63.21</c:v>
                </c:pt>
                <c:pt idx="2">
                  <c:v>59.79</c:v>
                </c:pt>
                <c:pt idx="3">
                  <c:v>72.84</c:v>
                </c:pt>
                <c:pt idx="4">
                  <c:v>26.93</c:v>
                </c:pt>
                <c:pt idx="5">
                  <c:v>56.49</c:v>
                </c:pt>
                <c:pt idx="6">
                  <c:v>59.66</c:v>
                </c:pt>
                <c:pt idx="7">
                  <c:v>69.91</c:v>
                </c:pt>
                <c:pt idx="8">
                  <c:v>67.47</c:v>
                </c:pt>
                <c:pt idx="9">
                  <c:v>63.93</c:v>
                </c:pt>
                <c:pt idx="10">
                  <c:v>48.22</c:v>
                </c:pt>
                <c:pt idx="11">
                  <c:v>52.54</c:v>
                </c:pt>
                <c:pt idx="12">
                  <c:v>49.83</c:v>
                </c:pt>
                <c:pt idx="13">
                  <c:v>59.29</c:v>
                </c:pt>
                <c:pt idx="14">
                  <c:v>62.61</c:v>
                </c:pt>
                <c:pt idx="15">
                  <c:v>64.260000000000005</c:v>
                </c:pt>
                <c:pt idx="16">
                  <c:v>62.83</c:v>
                </c:pt>
                <c:pt idx="17">
                  <c:v>58.15</c:v>
                </c:pt>
                <c:pt idx="18">
                  <c:v>58.96</c:v>
                </c:pt>
                <c:pt idx="19">
                  <c:v>29.95</c:v>
                </c:pt>
                <c:pt idx="20">
                  <c:v>49.23</c:v>
                </c:pt>
                <c:pt idx="21">
                  <c:v>19.13</c:v>
                </c:pt>
                <c:pt idx="22">
                  <c:v>50.5</c:v>
                </c:pt>
                <c:pt idx="23">
                  <c:v>64.040000000000006</c:v>
                </c:pt>
                <c:pt idx="24">
                  <c:v>60.6</c:v>
                </c:pt>
                <c:pt idx="25">
                  <c:v>57.42</c:v>
                </c:pt>
                <c:pt idx="26">
                  <c:v>60.45</c:v>
                </c:pt>
                <c:pt idx="27">
                  <c:v>55.09</c:v>
                </c:pt>
                <c:pt idx="28">
                  <c:v>45.73</c:v>
                </c:pt>
                <c:pt idx="29">
                  <c:v>47.69</c:v>
                </c:pt>
                <c:pt idx="30">
                  <c:v>36.82</c:v>
                </c:pt>
                <c:pt idx="31">
                  <c:v>58.45</c:v>
                </c:pt>
                <c:pt idx="32">
                  <c:v>57.66</c:v>
                </c:pt>
                <c:pt idx="33">
                  <c:v>45.46</c:v>
                </c:pt>
                <c:pt idx="35">
                  <c:v>40.51</c:v>
                </c:pt>
                <c:pt idx="36">
                  <c:v>42.78</c:v>
                </c:pt>
                <c:pt idx="37">
                  <c:v>41.47</c:v>
                </c:pt>
              </c:numCache>
            </c:numRef>
          </c:xVal>
          <c:yVal>
            <c:numRef>
              <c:f>'reporting-transcriptome aligned'!$S$4:$S$41</c:f>
              <c:numCache>
                <c:formatCode>General</c:formatCode>
                <c:ptCount val="38"/>
                <c:pt idx="0">
                  <c:v>65.44</c:v>
                </c:pt>
                <c:pt idx="1">
                  <c:v>61.72</c:v>
                </c:pt>
                <c:pt idx="2">
                  <c:v>58.85</c:v>
                </c:pt>
                <c:pt idx="3">
                  <c:v>69.06</c:v>
                </c:pt>
                <c:pt idx="4">
                  <c:v>25.78</c:v>
                </c:pt>
                <c:pt idx="5">
                  <c:v>55.44</c:v>
                </c:pt>
                <c:pt idx="6">
                  <c:v>58.07</c:v>
                </c:pt>
                <c:pt idx="7">
                  <c:v>68.75</c:v>
                </c:pt>
                <c:pt idx="8">
                  <c:v>65.72</c:v>
                </c:pt>
                <c:pt idx="9">
                  <c:v>62.68</c:v>
                </c:pt>
                <c:pt idx="10">
                  <c:v>46.72</c:v>
                </c:pt>
                <c:pt idx="11">
                  <c:v>51.43</c:v>
                </c:pt>
                <c:pt idx="12">
                  <c:v>48.41</c:v>
                </c:pt>
                <c:pt idx="13">
                  <c:v>58</c:v>
                </c:pt>
                <c:pt idx="14">
                  <c:v>61.35</c:v>
                </c:pt>
                <c:pt idx="15">
                  <c:v>62.77</c:v>
                </c:pt>
                <c:pt idx="16">
                  <c:v>61.4</c:v>
                </c:pt>
                <c:pt idx="17">
                  <c:v>56.86</c:v>
                </c:pt>
                <c:pt idx="18">
                  <c:v>57.79</c:v>
                </c:pt>
                <c:pt idx="19">
                  <c:v>27.21</c:v>
                </c:pt>
                <c:pt idx="20">
                  <c:v>47.09</c:v>
                </c:pt>
                <c:pt idx="21">
                  <c:v>18.39</c:v>
                </c:pt>
                <c:pt idx="22">
                  <c:v>49.42</c:v>
                </c:pt>
                <c:pt idx="23">
                  <c:v>62.62</c:v>
                </c:pt>
                <c:pt idx="24">
                  <c:v>59.06</c:v>
                </c:pt>
                <c:pt idx="25">
                  <c:v>56.46</c:v>
                </c:pt>
                <c:pt idx="26">
                  <c:v>58.99</c:v>
                </c:pt>
                <c:pt idx="27">
                  <c:v>53.53</c:v>
                </c:pt>
                <c:pt idx="28">
                  <c:v>44.51</c:v>
                </c:pt>
                <c:pt idx="29">
                  <c:v>46.46</c:v>
                </c:pt>
                <c:pt idx="30">
                  <c:v>35.729999999999997</c:v>
                </c:pt>
                <c:pt idx="31">
                  <c:v>57.74</c:v>
                </c:pt>
                <c:pt idx="32">
                  <c:v>56.54</c:v>
                </c:pt>
                <c:pt idx="33">
                  <c:v>44.23</c:v>
                </c:pt>
                <c:pt idx="34">
                  <c:v>0</c:v>
                </c:pt>
                <c:pt idx="35">
                  <c:v>38.880000000000003</c:v>
                </c:pt>
                <c:pt idx="36">
                  <c:v>41.87</c:v>
                </c:pt>
                <c:pt idx="37">
                  <c:v>40.11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97D-124E-925C-ECF3AF542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252015"/>
        <c:axId val="836517663"/>
      </c:scatterChart>
      <c:valAx>
        <c:axId val="836252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rn6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17663"/>
        <c:crosses val="autoZero"/>
        <c:crossBetween val="midCat"/>
      </c:valAx>
      <c:valAx>
        <c:axId val="8365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rn5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252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</a:t>
            </a:r>
          </a:p>
        </c:rich>
      </c:tx>
      <c:layout>
        <c:manualLayout>
          <c:xMode val="edge"/>
          <c:yMode val="edge"/>
          <c:x val="0.42364816156260082"/>
          <c:y val="7.495316165124766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493-D44B-975B-DD680B8BF0E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93-D44B-975B-DD680B8BF0E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493-D44B-975B-DD680B8BF0E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93-D44B-975B-DD680B8BF0E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493-D44B-975B-DD680B8BF0EB}"/>
              </c:ext>
            </c:extLst>
          </c:dPt>
          <c:dLbls>
            <c:dLbl>
              <c:idx val="0"/>
              <c:layout>
                <c:manualLayout>
                  <c:x val="4.5638151227407865E-2"/>
                  <c:y val="1.630024702083314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493-D44B-975B-DD680B8BF0EB}"/>
                </c:ext>
              </c:extLst>
            </c:dLbl>
            <c:dLbl>
              <c:idx val="1"/>
              <c:layout>
                <c:manualLayout>
                  <c:x val="4.9725944914775048E-2"/>
                  <c:y val="4.032657151549685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93-D44B-975B-DD680B8BF0EB}"/>
                </c:ext>
              </c:extLst>
            </c:dLbl>
            <c:dLbl>
              <c:idx val="2"/>
              <c:layout>
                <c:manualLayout>
                  <c:x val="-0.17876303415416683"/>
                  <c:y val="5.653652063292338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93-D44B-975B-DD680B8BF0EB}"/>
                </c:ext>
              </c:extLst>
            </c:dLbl>
            <c:dLbl>
              <c:idx val="3"/>
              <c:layout>
                <c:manualLayout>
                  <c:x val="0.16276924662250522"/>
                  <c:y val="-0.1302750869559957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93-D44B-975B-DD680B8BF0EB}"/>
                </c:ext>
              </c:extLst>
            </c:dLbl>
            <c:dLbl>
              <c:idx val="4"/>
              <c:layout>
                <c:manualLayout>
                  <c:x val="7.5485114396657463E-2"/>
                  <c:y val="0.1578445713402127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93-D44B-975B-DD680B8BF0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charts'!$A$8:$A$12</c:f>
              <c:strCache>
                <c:ptCount val="5"/>
                <c:pt idx="0">
                  <c:v>miRNA</c:v>
                </c:pt>
                <c:pt idx="1">
                  <c:v>mRNA fragments</c:v>
                </c:pt>
                <c:pt idx="2">
                  <c:v>piRNA</c:v>
                </c:pt>
                <c:pt idx="3">
                  <c:v>tRFs</c:v>
                </c:pt>
                <c:pt idx="4">
                  <c:v>unassigned</c:v>
                </c:pt>
              </c:strCache>
            </c:strRef>
          </c:cat>
          <c:val>
            <c:numRef>
              <c:f>'pie charts'!$B$8:$B$12</c:f>
              <c:numCache>
                <c:formatCode>General</c:formatCode>
                <c:ptCount val="5"/>
                <c:pt idx="0">
                  <c:v>4.4000000000000004</c:v>
                </c:pt>
                <c:pt idx="1">
                  <c:v>4.7</c:v>
                </c:pt>
                <c:pt idx="2">
                  <c:v>30.4</c:v>
                </c:pt>
                <c:pt idx="3">
                  <c:v>51.4</c:v>
                </c:pt>
                <c:pt idx="4">
                  <c:v>9.0999999999999943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3-41CB-92EC-ADC2272FE6C1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50 mg/kg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'pie charts'!$B$1:$F$1</c:f>
              <c:strCache>
                <c:ptCount val="5"/>
                <c:pt idx="0">
                  <c:v>tRF's</c:v>
                </c:pt>
                <c:pt idx="1">
                  <c:v>piRNA's</c:v>
                </c:pt>
                <c:pt idx="2">
                  <c:v>miRNA's</c:v>
                </c:pt>
                <c:pt idx="3">
                  <c:v>mRNA fragments</c:v>
                </c:pt>
                <c:pt idx="4">
                  <c:v>uncategorized</c:v>
                </c:pt>
              </c:strCache>
            </c:strRef>
          </c:cat>
          <c:val>
            <c:numRef>
              <c:f>'pie charts'!$B$3:$F$3</c:f>
              <c:numCache>
                <c:formatCode>General</c:formatCode>
                <c:ptCount val="5"/>
                <c:pt idx="0">
                  <c:v>44.750000000000007</c:v>
                </c:pt>
                <c:pt idx="1">
                  <c:v>39.11</c:v>
                </c:pt>
                <c:pt idx="2">
                  <c:v>4.6239999999999997</c:v>
                </c:pt>
                <c:pt idx="3">
                  <c:v>0.45</c:v>
                </c:pt>
                <c:pt idx="4">
                  <c:v>11.065999999999988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8-46EA-B2C6-75D4EB5B5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60 mg/kg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'pie charts'!$B$1:$F$1</c:f>
              <c:strCache>
                <c:ptCount val="5"/>
                <c:pt idx="0">
                  <c:v>tRF's</c:v>
                </c:pt>
                <c:pt idx="1">
                  <c:v>piRNA's</c:v>
                </c:pt>
                <c:pt idx="2">
                  <c:v>miRNA's</c:v>
                </c:pt>
                <c:pt idx="3">
                  <c:v>mRNA fragments</c:v>
                </c:pt>
                <c:pt idx="4">
                  <c:v>uncategorized</c:v>
                </c:pt>
              </c:strCache>
            </c:strRef>
          </c:cat>
          <c:val>
            <c:numRef>
              <c:f>'pie charts'!$B$4:$F$4</c:f>
              <c:numCache>
                <c:formatCode>General</c:formatCode>
                <c:ptCount val="5"/>
                <c:pt idx="0">
                  <c:v>42.055555555555564</c:v>
                </c:pt>
                <c:pt idx="1">
                  <c:v>39.377777777777773</c:v>
                </c:pt>
                <c:pt idx="2">
                  <c:v>6.42</c:v>
                </c:pt>
                <c:pt idx="3">
                  <c:v>0.8666666666666667</c:v>
                </c:pt>
                <c:pt idx="4">
                  <c:v>11.280000000000001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6-42F7-A411-FF71297C5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75mg/kg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'pie charts'!$B$1:$F$1</c:f>
              <c:strCache>
                <c:ptCount val="5"/>
                <c:pt idx="0">
                  <c:v>tRF's</c:v>
                </c:pt>
                <c:pt idx="1">
                  <c:v>piRNA's</c:v>
                </c:pt>
                <c:pt idx="2">
                  <c:v>miRNA's</c:v>
                </c:pt>
                <c:pt idx="3">
                  <c:v>mRNA fragments</c:v>
                </c:pt>
                <c:pt idx="4">
                  <c:v>uncategorized</c:v>
                </c:pt>
              </c:strCache>
            </c:strRef>
          </c:cat>
          <c:val>
            <c:numRef>
              <c:f>'pie charts'!$B$5:$F$5</c:f>
              <c:numCache>
                <c:formatCode>General</c:formatCode>
                <c:ptCount val="5"/>
                <c:pt idx="0">
                  <c:v>35.46</c:v>
                </c:pt>
                <c:pt idx="1">
                  <c:v>36.599999999999994</c:v>
                </c:pt>
                <c:pt idx="2">
                  <c:v>8.5789999999999971</c:v>
                </c:pt>
                <c:pt idx="3">
                  <c:v>1.2</c:v>
                </c:pt>
                <c:pt idx="4">
                  <c:v>18.161000000000001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F-4D13-AEE0-343564C2E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</xdr:colOff>
      <xdr:row>47</xdr:row>
      <xdr:rowOff>4</xdr:rowOff>
    </xdr:from>
    <xdr:to>
      <xdr:col>6</xdr:col>
      <xdr:colOff>444504</xdr:colOff>
      <xdr:row>61</xdr:row>
      <xdr:rowOff>76204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398FA-11AE-1343-B14D-3E7328890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463550</xdr:colOff>
      <xdr:row>0</xdr:row>
      <xdr:rowOff>158750</xdr:rowOff>
    </xdr:from>
    <xdr:to>
      <xdr:col>14</xdr:col>
      <xdr:colOff>65616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101600</xdr:colOff>
      <xdr:row>17</xdr:row>
      <xdr:rowOff>120650</xdr:rowOff>
    </xdr:from>
    <xdr:to>
      <xdr:col>13</xdr:col>
      <xdr:colOff>546100</xdr:colOff>
      <xdr:row>33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120650</xdr:colOff>
      <xdr:row>0</xdr:row>
      <xdr:rowOff>0</xdr:rowOff>
    </xdr:from>
    <xdr:to>
      <xdr:col>21</xdr:col>
      <xdr:colOff>565150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165100</xdr:colOff>
      <xdr:row>16</xdr:row>
      <xdr:rowOff>133350</xdr:rowOff>
    </xdr:from>
    <xdr:to>
      <xdr:col>21</xdr:col>
      <xdr:colOff>609600</xdr:colOff>
      <xdr:row>32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ade, Daniel" refreshedDate="44018.665108796296" createdVersion="6" refreshedVersion="6" minRefreshableVersion="3" recordCount="40">
  <cacheSource type="worksheet">
    <worksheetSource ref="A1:J1048576" sheet="samples"/>
  </cacheSource>
  <cacheFields count="10">
    <cacheField name="sample number" numFmtId="0">
      <sharedItems containsString="0" containsBlank="1" containsNumber="1" containsInteger="1" minValue="1" maxValue="40"/>
    </cacheField>
    <cacheField name="chip" numFmtId="0">
      <sharedItems containsString="0" containsBlank="1" containsNumber="1" containsInteger="1" minValue="1" maxValue="13"/>
    </cacheField>
    <cacheField name="treatment (mg/kg)" numFmtId="0">
      <sharedItems containsString="0" containsBlank="1" containsNumber="1" containsInteger="1" minValue="0" maxValue="75" count="5">
        <n v="50"/>
        <n v="60"/>
        <n v="75"/>
        <n v="0"/>
        <m/>
      </sharedItems>
    </cacheField>
    <cacheField name="date" numFmtId="0">
      <sharedItems containsNonDate="0" containsDate="1" containsString="0" containsBlank="1" minDate="2017-07-21T00:00:00" maxDate="2019-04-18T00:00:00"/>
    </cacheField>
    <cacheField name="folder" numFmtId="0">
      <sharedItems containsBlank="1"/>
    </cacheField>
    <cacheField name="species" numFmtId="0">
      <sharedItems containsBlank="1"/>
    </cacheField>
    <cacheField name="strain" numFmtId="0">
      <sharedItems containsBlank="1"/>
    </cacheField>
    <cacheField name="age at T0 (weeks)" numFmtId="0">
      <sharedItems containsBlank="1"/>
    </cacheField>
    <cacheField name="exposure days " numFmtId="0">
      <sharedItems containsString="0" containsBlank="1" containsNumber="1" containsInteger="1" minValue="5" maxValue="5"/>
    </cacheField>
    <cacheField name="post-exposure interval (weeks)" numFmtId="0">
      <sharedItems containsString="0" containsBlank="1" containsNumber="1" containsInteger="1" minValue="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n v="28"/>
    <n v="1"/>
    <x v="0"/>
    <d v="2017-07-21T00:00:00"/>
    <s v="100.00 fastq files"/>
    <s v="rat"/>
    <s v="Fischer"/>
    <s v="11-12"/>
    <n v="5"/>
    <n v="5"/>
  </r>
  <r>
    <n v="22"/>
    <n v="1"/>
    <x v="1"/>
    <d v="2017-07-21T00:00:00"/>
    <s v="100.00 fastq files"/>
    <s v="rat"/>
    <s v="Fischer"/>
    <s v="11-12"/>
    <n v="5"/>
    <n v="5"/>
  </r>
  <r>
    <n v="8"/>
    <n v="1"/>
    <x v="2"/>
    <d v="2017-07-21T00:00:00"/>
    <s v="100.00 fastq files"/>
    <s v="rat"/>
    <s v="Fischer"/>
    <s v="11-12"/>
    <n v="5"/>
    <n v="5"/>
  </r>
  <r>
    <n v="1"/>
    <n v="2"/>
    <x v="3"/>
    <d v="2017-07-21T00:00:00"/>
    <s v="100.00 fastq files"/>
    <s v="rat"/>
    <s v="Fischer"/>
    <s v="11-12"/>
    <n v="5"/>
    <n v="5"/>
  </r>
  <r>
    <n v="19"/>
    <n v="2"/>
    <x v="0"/>
    <d v="2017-07-21T00:00:00"/>
    <s v="100.00 fastq files"/>
    <s v="rat"/>
    <s v="Fischer"/>
    <s v="11-12"/>
    <n v="5"/>
    <n v="5"/>
  </r>
  <r>
    <n v="31"/>
    <n v="2"/>
    <x v="2"/>
    <d v="2017-07-21T00:00:00"/>
    <s v="100.00 fastq files"/>
    <s v="rat"/>
    <s v="Fischer"/>
    <s v="11-12"/>
    <n v="5"/>
    <n v="5"/>
  </r>
  <r>
    <n v="26"/>
    <n v="3"/>
    <x v="3"/>
    <d v="2017-07-21T00:00:00"/>
    <s v="100.00 fastq files"/>
    <s v="rat"/>
    <s v="Fischer"/>
    <s v="11-12"/>
    <n v="5"/>
    <n v="5"/>
  </r>
  <r>
    <n v="11"/>
    <n v="3"/>
    <x v="0"/>
    <d v="2017-07-21T00:00:00"/>
    <s v="100.00 fastq files"/>
    <s v="rat"/>
    <s v="Fischer"/>
    <s v="11-12"/>
    <n v="5"/>
    <n v="5"/>
  </r>
  <r>
    <n v="38"/>
    <n v="3"/>
    <x v="1"/>
    <d v="2017-07-21T00:00:00"/>
    <s v="100.00 fastq files"/>
    <s v="rat"/>
    <s v="Fischer"/>
    <s v="11-12"/>
    <n v="5"/>
    <n v="5"/>
  </r>
  <r>
    <n v="20"/>
    <n v="4"/>
    <x v="0"/>
    <d v="2017-07-21T00:00:00"/>
    <s v="100.00 fastq files"/>
    <s v="rat"/>
    <s v="Fischer"/>
    <s v="11-12"/>
    <n v="5"/>
    <n v="5"/>
  </r>
  <r>
    <n v="29"/>
    <n v="4"/>
    <x v="1"/>
    <d v="2017-07-21T00:00:00"/>
    <s v="100.00 fastq files"/>
    <s v="rat"/>
    <s v="Fischer"/>
    <s v="11-12"/>
    <n v="5"/>
    <n v="5"/>
  </r>
  <r>
    <n v="40"/>
    <n v="4"/>
    <x v="2"/>
    <d v="2017-07-21T00:00:00"/>
    <s v="100.00 fastq files"/>
    <s v="rat"/>
    <s v="Fischer"/>
    <s v="11-12"/>
    <n v="5"/>
    <n v="5"/>
  </r>
  <r>
    <n v="2"/>
    <n v="5"/>
    <x v="3"/>
    <d v="2017-07-21T00:00:00"/>
    <s v="100.00 fastq files"/>
    <s v="rat"/>
    <s v="Fischer"/>
    <s v="11-12"/>
    <n v="5"/>
    <n v="5"/>
  </r>
  <r>
    <n v="36"/>
    <n v="5"/>
    <x v="0"/>
    <d v="2017-07-21T00:00:00"/>
    <s v="100.00 fastq files"/>
    <s v="rat"/>
    <s v="Fischer"/>
    <s v="11-12"/>
    <n v="5"/>
    <n v="5"/>
  </r>
  <r>
    <n v="14"/>
    <n v="5"/>
    <x v="1"/>
    <d v="2017-07-21T00:00:00"/>
    <s v="100.00 fastq files"/>
    <s v="rat"/>
    <s v="Fischer"/>
    <s v="11-12"/>
    <n v="5"/>
    <n v="5"/>
  </r>
  <r>
    <n v="33"/>
    <n v="6"/>
    <x v="3"/>
    <d v="2018-04-18T00:00:00"/>
    <s v="100.21 fastq files"/>
    <s v="rat"/>
    <s v="Fischer"/>
    <s v="11-12"/>
    <n v="5"/>
    <n v="5"/>
  </r>
  <r>
    <n v="6"/>
    <n v="6"/>
    <x v="1"/>
    <d v="2018-04-18T00:00:00"/>
    <s v="100.21 fastq files"/>
    <s v="rat"/>
    <s v="Fischer"/>
    <s v="11-12"/>
    <n v="5"/>
    <n v="5"/>
  </r>
  <r>
    <n v="23"/>
    <n v="6"/>
    <x v="2"/>
    <d v="2018-04-18T00:00:00"/>
    <s v="100.21 fastq files"/>
    <s v="rat"/>
    <s v="Fischer"/>
    <s v="11-12"/>
    <n v="5"/>
    <n v="5"/>
  </r>
  <r>
    <n v="9"/>
    <n v="7"/>
    <x v="3"/>
    <d v="2018-04-11T00:00:00"/>
    <s v="100.21 fastq files"/>
    <s v="rat"/>
    <s v="Fischer"/>
    <s v="11-12"/>
    <n v="5"/>
    <n v="5"/>
  </r>
  <r>
    <n v="35"/>
    <n v="7"/>
    <x v="0"/>
    <d v="2018-04-11T00:00:00"/>
    <s v="100.21 fastq files"/>
    <s v="rat"/>
    <s v="Fischer"/>
    <s v="11-12"/>
    <n v="5"/>
    <n v="5"/>
  </r>
  <r>
    <n v="15"/>
    <n v="7"/>
    <x v="2"/>
    <d v="2018-04-11T00:00:00"/>
    <s v="100.21 fastq files"/>
    <s v="rat"/>
    <s v="Fischer"/>
    <s v="11-12"/>
    <n v="5"/>
    <n v="5"/>
  </r>
  <r>
    <n v="18"/>
    <n v="8"/>
    <x v="3"/>
    <d v="2018-04-12T00:00:00"/>
    <s v="100.21 fastq files"/>
    <s v="rat"/>
    <s v="Fischer"/>
    <s v="11-12"/>
    <n v="5"/>
    <n v="5"/>
  </r>
  <r>
    <n v="30"/>
    <n v="8"/>
    <x v="1"/>
    <d v="2018-04-12T00:00:00"/>
    <s v="100.21 fastq files"/>
    <s v="rat"/>
    <s v="Fischer"/>
    <s v="11-12"/>
    <n v="5"/>
    <n v="5"/>
  </r>
  <r>
    <n v="32"/>
    <n v="8"/>
    <x v="2"/>
    <d v="2018-04-12T00:00:00"/>
    <s v="100.21 fastq files"/>
    <s v="rat"/>
    <s v="Fischer"/>
    <s v="11-12"/>
    <n v="5"/>
    <n v="5"/>
  </r>
  <r>
    <n v="34"/>
    <n v="9"/>
    <x v="3"/>
    <d v="2019-04-17T00:00:00"/>
    <s v="100.21 fastq files"/>
    <s v="rat"/>
    <s v="Fischer"/>
    <s v="11-12"/>
    <n v="5"/>
    <n v="5"/>
  </r>
  <r>
    <n v="3"/>
    <n v="9"/>
    <x v="0"/>
    <d v="2018-04-17T00:00:00"/>
    <s v="100.21 fastq files"/>
    <s v="rat"/>
    <s v="Fischer"/>
    <s v="11-12"/>
    <n v="5"/>
    <n v="5"/>
  </r>
  <r>
    <n v="16"/>
    <n v="9"/>
    <x v="2"/>
    <d v="2018-04-17T00:00:00"/>
    <s v="100.21 fastq files"/>
    <s v="rat"/>
    <s v="Fischer"/>
    <s v="11-12"/>
    <n v="5"/>
    <n v="5"/>
  </r>
  <r>
    <n v="25"/>
    <n v="10"/>
    <x v="3"/>
    <d v="2018-04-26T00:00:00"/>
    <s v="100.21 fastq files"/>
    <s v="rat"/>
    <s v="Fischer"/>
    <s v="11-12"/>
    <n v="5"/>
    <n v="5"/>
  </r>
  <r>
    <n v="5"/>
    <n v="10"/>
    <x v="1"/>
    <d v="2018-04-26T00:00:00"/>
    <s v="100.21 fastq files"/>
    <s v="rat"/>
    <s v="Fischer"/>
    <s v="11-12"/>
    <n v="5"/>
    <n v="5"/>
  </r>
  <r>
    <n v="24"/>
    <n v="10"/>
    <x v="2"/>
    <d v="2018-04-26T00:00:00"/>
    <s v="100.21 fastq files"/>
    <s v="rat"/>
    <s v="Fischer"/>
    <s v="11-12"/>
    <n v="5"/>
    <n v="5"/>
  </r>
  <r>
    <n v="27"/>
    <n v="11"/>
    <x v="0"/>
    <d v="2018-04-27T00:00:00"/>
    <s v="100.21 fastq files"/>
    <s v="rat"/>
    <s v="Fischer"/>
    <s v="11-12"/>
    <n v="5"/>
    <n v="5"/>
  </r>
  <r>
    <n v="13"/>
    <n v="11"/>
    <x v="1"/>
    <d v="2018-04-27T00:00:00"/>
    <s v="100.21 fastq files"/>
    <s v="rat"/>
    <s v="Fischer"/>
    <s v="11-12"/>
    <n v="5"/>
    <n v="5"/>
  </r>
  <r>
    <n v="7"/>
    <n v="11"/>
    <x v="2"/>
    <d v="2018-04-27T00:00:00"/>
    <s v="100.21 fastq files"/>
    <s v="rat"/>
    <s v="Fischer"/>
    <s v="11-12"/>
    <n v="5"/>
    <n v="5"/>
  </r>
  <r>
    <n v="10"/>
    <n v="12"/>
    <x v="3"/>
    <d v="2018-05-01T00:00:00"/>
    <s v="100.21 fastq files"/>
    <s v="rat"/>
    <s v="Fischer"/>
    <s v="11-12"/>
    <n v="5"/>
    <n v="5"/>
  </r>
  <r>
    <n v="21"/>
    <n v="12"/>
    <x v="1"/>
    <d v="2018-05-01T00:00:00"/>
    <s v="100.21 fastq files"/>
    <s v="rat"/>
    <s v="Fischer"/>
    <s v="11-12"/>
    <n v="5"/>
    <n v="5"/>
  </r>
  <r>
    <n v="39"/>
    <n v="12"/>
    <x v="2"/>
    <d v="2018-05-01T00:00:00"/>
    <s v="100.21 fastq files"/>
    <s v="rat"/>
    <s v="Fischer"/>
    <s v="11-12"/>
    <n v="5"/>
    <n v="5"/>
  </r>
  <r>
    <n v="17"/>
    <n v="13"/>
    <x v="3"/>
    <d v="2018-05-02T00:00:00"/>
    <s v="100.21 fastq files"/>
    <s v="rat"/>
    <s v="Fischer"/>
    <s v="11-12"/>
    <n v="5"/>
    <n v="5"/>
  </r>
  <r>
    <n v="4"/>
    <n v="13"/>
    <x v="0"/>
    <d v="2018-05-02T00:00:00"/>
    <s v="100.21 fastq files"/>
    <s v="rat"/>
    <s v="Fischer"/>
    <s v="11-12"/>
    <n v="5"/>
    <n v="5"/>
  </r>
  <r>
    <n v="12"/>
    <n v="13"/>
    <x v="0"/>
    <d v="2018-05-02T00:00:00"/>
    <s v="100.21 fastq files"/>
    <s v="rat"/>
    <s v="Fischer"/>
    <s v="11-12"/>
    <n v="5"/>
    <n v="5"/>
  </r>
  <r>
    <m/>
    <m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0">
    <pivotField dataField="1"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mple number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E30" sqref="E30"/>
    </sheetView>
  </sheetViews>
  <sheetFormatPr defaultRowHeight="15" x14ac:dyDescent="0.25"/>
  <cols>
    <col min="1" max="1" width="15" bestFit="1" customWidth="1"/>
    <col min="2" max="2" width="4.7109375" bestFit="1" customWidth="1"/>
    <col min="3" max="3" width="17.7109375" bestFit="1" customWidth="1"/>
    <col min="4" max="4" width="9.7109375" bestFit="1" customWidth="1"/>
    <col min="5" max="5" width="15.85546875" bestFit="1" customWidth="1"/>
    <col min="8" max="8" width="16.42578125" bestFit="1" customWidth="1"/>
    <col min="9" max="9" width="14.28515625" bestFit="1" customWidth="1"/>
    <col min="10" max="10" width="29.28515625" bestFit="1" customWidth="1"/>
  </cols>
  <sheetData>
    <row r="1" spans="1:10" x14ac:dyDescent="0.25">
      <c r="A1" t="s">
        <v>138</v>
      </c>
      <c r="B1" t="s">
        <v>137</v>
      </c>
      <c r="C1" t="s">
        <v>139</v>
      </c>
      <c r="D1" t="s">
        <v>142</v>
      </c>
      <c r="E1" t="s">
        <v>140</v>
      </c>
      <c r="F1" t="s">
        <v>144</v>
      </c>
      <c r="G1" t="s">
        <v>145</v>
      </c>
      <c r="H1" t="s">
        <v>148</v>
      </c>
      <c r="I1" t="s">
        <v>149</v>
      </c>
      <c r="J1" t="s">
        <v>150</v>
      </c>
    </row>
    <row r="2" spans="1:10" x14ac:dyDescent="0.25">
      <c r="A2">
        <v>28</v>
      </c>
      <c r="B2">
        <v>1</v>
      </c>
      <c r="C2">
        <v>50</v>
      </c>
      <c r="D2" s="76">
        <v>42937</v>
      </c>
      <c r="E2" t="s">
        <v>141</v>
      </c>
      <c r="F2" t="s">
        <v>146</v>
      </c>
      <c r="G2" t="s">
        <v>147</v>
      </c>
      <c r="H2" s="77" t="str">
        <f>"11-12"</f>
        <v>11-12</v>
      </c>
      <c r="I2">
        <v>5</v>
      </c>
      <c r="J2">
        <v>5</v>
      </c>
    </row>
    <row r="3" spans="1:10" x14ac:dyDescent="0.25">
      <c r="A3">
        <v>22</v>
      </c>
      <c r="B3">
        <v>1</v>
      </c>
      <c r="C3">
        <v>60</v>
      </c>
      <c r="D3" s="76">
        <v>42937</v>
      </c>
      <c r="E3" t="s">
        <v>141</v>
      </c>
      <c r="F3" t="s">
        <v>146</v>
      </c>
      <c r="G3" t="s">
        <v>147</v>
      </c>
      <c r="H3" s="77" t="str">
        <f t="shared" ref="H3:H40" si="0">"11-12"</f>
        <v>11-12</v>
      </c>
      <c r="I3">
        <v>5</v>
      </c>
      <c r="J3">
        <v>5</v>
      </c>
    </row>
    <row r="4" spans="1:10" x14ac:dyDescent="0.25">
      <c r="A4">
        <v>8</v>
      </c>
      <c r="B4">
        <v>1</v>
      </c>
      <c r="C4">
        <v>75</v>
      </c>
      <c r="D4" s="76">
        <v>42937</v>
      </c>
      <c r="E4" t="s">
        <v>141</v>
      </c>
      <c r="F4" t="s">
        <v>146</v>
      </c>
      <c r="G4" t="s">
        <v>147</v>
      </c>
      <c r="H4" s="77" t="str">
        <f t="shared" si="0"/>
        <v>11-12</v>
      </c>
      <c r="I4">
        <v>5</v>
      </c>
      <c r="J4">
        <v>5</v>
      </c>
    </row>
    <row r="5" spans="1:10" x14ac:dyDescent="0.25">
      <c r="A5">
        <v>1</v>
      </c>
      <c r="B5">
        <v>2</v>
      </c>
      <c r="C5">
        <v>0</v>
      </c>
      <c r="D5" s="76">
        <v>42937</v>
      </c>
      <c r="E5" t="s">
        <v>141</v>
      </c>
      <c r="F5" t="s">
        <v>146</v>
      </c>
      <c r="G5" t="s">
        <v>147</v>
      </c>
      <c r="H5" s="77" t="str">
        <f t="shared" si="0"/>
        <v>11-12</v>
      </c>
      <c r="I5">
        <v>5</v>
      </c>
      <c r="J5">
        <v>5</v>
      </c>
    </row>
    <row r="6" spans="1:10" x14ac:dyDescent="0.25">
      <c r="A6">
        <v>19</v>
      </c>
      <c r="B6">
        <v>2</v>
      </c>
      <c r="C6">
        <v>50</v>
      </c>
      <c r="D6" s="76">
        <v>42937</v>
      </c>
      <c r="E6" t="s">
        <v>141</v>
      </c>
      <c r="F6" t="s">
        <v>146</v>
      </c>
      <c r="G6" t="s">
        <v>147</v>
      </c>
      <c r="H6" s="77" t="str">
        <f t="shared" si="0"/>
        <v>11-12</v>
      </c>
      <c r="I6">
        <v>5</v>
      </c>
      <c r="J6">
        <v>5</v>
      </c>
    </row>
    <row r="7" spans="1:10" x14ac:dyDescent="0.25">
      <c r="A7">
        <v>31</v>
      </c>
      <c r="B7">
        <v>2</v>
      </c>
      <c r="C7">
        <v>75</v>
      </c>
      <c r="D7" s="76">
        <v>42937</v>
      </c>
      <c r="E7" t="s">
        <v>141</v>
      </c>
      <c r="F7" t="s">
        <v>146</v>
      </c>
      <c r="G7" t="s">
        <v>147</v>
      </c>
      <c r="H7" s="77" t="str">
        <f t="shared" si="0"/>
        <v>11-12</v>
      </c>
      <c r="I7">
        <v>5</v>
      </c>
      <c r="J7">
        <v>5</v>
      </c>
    </row>
    <row r="8" spans="1:10" x14ac:dyDescent="0.25">
      <c r="A8">
        <v>26</v>
      </c>
      <c r="B8">
        <v>3</v>
      </c>
      <c r="C8">
        <v>0</v>
      </c>
      <c r="D8" s="76">
        <v>42937</v>
      </c>
      <c r="E8" t="s">
        <v>141</v>
      </c>
      <c r="F8" t="s">
        <v>146</v>
      </c>
      <c r="G8" t="s">
        <v>147</v>
      </c>
      <c r="H8" s="77" t="str">
        <f t="shared" si="0"/>
        <v>11-12</v>
      </c>
      <c r="I8">
        <v>5</v>
      </c>
      <c r="J8">
        <v>5</v>
      </c>
    </row>
    <row r="9" spans="1:10" x14ac:dyDescent="0.25">
      <c r="A9">
        <v>11</v>
      </c>
      <c r="B9">
        <v>3</v>
      </c>
      <c r="C9">
        <v>50</v>
      </c>
      <c r="D9" s="76">
        <v>42937</v>
      </c>
      <c r="E9" t="s">
        <v>141</v>
      </c>
      <c r="F9" t="s">
        <v>146</v>
      </c>
      <c r="G9" t="s">
        <v>147</v>
      </c>
      <c r="H9" s="77" t="str">
        <f t="shared" si="0"/>
        <v>11-12</v>
      </c>
      <c r="I9">
        <v>5</v>
      </c>
      <c r="J9">
        <v>5</v>
      </c>
    </row>
    <row r="10" spans="1:10" x14ac:dyDescent="0.25">
      <c r="A10">
        <v>38</v>
      </c>
      <c r="B10">
        <v>3</v>
      </c>
      <c r="C10">
        <v>60</v>
      </c>
      <c r="D10" s="76">
        <v>42937</v>
      </c>
      <c r="E10" t="s">
        <v>141</v>
      </c>
      <c r="F10" t="s">
        <v>146</v>
      </c>
      <c r="G10" t="s">
        <v>147</v>
      </c>
      <c r="H10" s="77" t="str">
        <f t="shared" si="0"/>
        <v>11-12</v>
      </c>
      <c r="I10">
        <v>5</v>
      </c>
      <c r="J10">
        <v>5</v>
      </c>
    </row>
    <row r="11" spans="1:10" x14ac:dyDescent="0.25">
      <c r="A11">
        <v>20</v>
      </c>
      <c r="B11">
        <v>4</v>
      </c>
      <c r="C11">
        <v>50</v>
      </c>
      <c r="D11" s="76">
        <v>42937</v>
      </c>
      <c r="E11" t="s">
        <v>141</v>
      </c>
      <c r="F11" t="s">
        <v>146</v>
      </c>
      <c r="G11" t="s">
        <v>147</v>
      </c>
      <c r="H11" s="77" t="str">
        <f t="shared" si="0"/>
        <v>11-12</v>
      </c>
      <c r="I11">
        <v>5</v>
      </c>
      <c r="J11">
        <v>5</v>
      </c>
    </row>
    <row r="12" spans="1:10" x14ac:dyDescent="0.25">
      <c r="A12">
        <v>29</v>
      </c>
      <c r="B12">
        <v>4</v>
      </c>
      <c r="C12">
        <v>60</v>
      </c>
      <c r="D12" s="76">
        <v>42937</v>
      </c>
      <c r="E12" t="s">
        <v>141</v>
      </c>
      <c r="F12" t="s">
        <v>146</v>
      </c>
      <c r="G12" t="s">
        <v>147</v>
      </c>
      <c r="H12" s="77" t="str">
        <f t="shared" si="0"/>
        <v>11-12</v>
      </c>
      <c r="I12">
        <v>5</v>
      </c>
      <c r="J12">
        <v>5</v>
      </c>
    </row>
    <row r="13" spans="1:10" x14ac:dyDescent="0.25">
      <c r="A13">
        <v>40</v>
      </c>
      <c r="B13">
        <v>4</v>
      </c>
      <c r="C13">
        <v>75</v>
      </c>
      <c r="D13" s="76">
        <v>42937</v>
      </c>
      <c r="E13" t="s">
        <v>141</v>
      </c>
      <c r="F13" t="s">
        <v>146</v>
      </c>
      <c r="G13" t="s">
        <v>147</v>
      </c>
      <c r="H13" s="77" t="str">
        <f t="shared" si="0"/>
        <v>11-12</v>
      </c>
      <c r="I13">
        <v>5</v>
      </c>
      <c r="J13">
        <v>5</v>
      </c>
    </row>
    <row r="14" spans="1:10" x14ac:dyDescent="0.25">
      <c r="A14">
        <v>2</v>
      </c>
      <c r="B14">
        <v>5</v>
      </c>
      <c r="C14">
        <v>0</v>
      </c>
      <c r="D14" s="76">
        <v>42937</v>
      </c>
      <c r="E14" t="s">
        <v>141</v>
      </c>
      <c r="F14" t="s">
        <v>146</v>
      </c>
      <c r="G14" t="s">
        <v>147</v>
      </c>
      <c r="H14" s="77" t="str">
        <f t="shared" si="0"/>
        <v>11-12</v>
      </c>
      <c r="I14">
        <v>5</v>
      </c>
      <c r="J14">
        <v>5</v>
      </c>
    </row>
    <row r="15" spans="1:10" x14ac:dyDescent="0.25">
      <c r="A15">
        <v>36</v>
      </c>
      <c r="B15">
        <v>5</v>
      </c>
      <c r="C15">
        <v>50</v>
      </c>
      <c r="D15" s="76">
        <v>42937</v>
      </c>
      <c r="E15" t="s">
        <v>141</v>
      </c>
      <c r="F15" t="s">
        <v>146</v>
      </c>
      <c r="G15" t="s">
        <v>147</v>
      </c>
      <c r="H15" s="77" t="str">
        <f t="shared" si="0"/>
        <v>11-12</v>
      </c>
      <c r="I15">
        <v>5</v>
      </c>
      <c r="J15">
        <v>5</v>
      </c>
    </row>
    <row r="16" spans="1:10" x14ac:dyDescent="0.25">
      <c r="A16">
        <v>14</v>
      </c>
      <c r="B16">
        <v>5</v>
      </c>
      <c r="C16">
        <v>60</v>
      </c>
      <c r="D16" s="76">
        <v>42937</v>
      </c>
      <c r="E16" t="s">
        <v>141</v>
      </c>
      <c r="F16" t="s">
        <v>146</v>
      </c>
      <c r="G16" t="s">
        <v>147</v>
      </c>
      <c r="H16" s="77" t="str">
        <f t="shared" si="0"/>
        <v>11-12</v>
      </c>
      <c r="I16">
        <v>5</v>
      </c>
      <c r="J16">
        <v>5</v>
      </c>
    </row>
    <row r="17" spans="1:10" x14ac:dyDescent="0.25">
      <c r="A17">
        <v>33</v>
      </c>
      <c r="B17">
        <v>6</v>
      </c>
      <c r="C17">
        <v>0</v>
      </c>
      <c r="D17" s="76">
        <v>43208</v>
      </c>
      <c r="E17" t="s">
        <v>143</v>
      </c>
      <c r="F17" t="s">
        <v>146</v>
      </c>
      <c r="G17" t="s">
        <v>147</v>
      </c>
      <c r="H17" s="77" t="str">
        <f t="shared" si="0"/>
        <v>11-12</v>
      </c>
      <c r="I17">
        <v>5</v>
      </c>
      <c r="J17">
        <v>5</v>
      </c>
    </row>
    <row r="18" spans="1:10" x14ac:dyDescent="0.25">
      <c r="A18">
        <v>6</v>
      </c>
      <c r="B18">
        <v>6</v>
      </c>
      <c r="C18">
        <v>60</v>
      </c>
      <c r="D18" s="76">
        <v>43208</v>
      </c>
      <c r="E18" t="s">
        <v>143</v>
      </c>
      <c r="F18" t="s">
        <v>146</v>
      </c>
      <c r="G18" t="s">
        <v>147</v>
      </c>
      <c r="H18" s="77" t="str">
        <f t="shared" si="0"/>
        <v>11-12</v>
      </c>
      <c r="I18">
        <v>5</v>
      </c>
      <c r="J18">
        <v>5</v>
      </c>
    </row>
    <row r="19" spans="1:10" x14ac:dyDescent="0.25">
      <c r="A19">
        <v>23</v>
      </c>
      <c r="B19">
        <v>6</v>
      </c>
      <c r="C19">
        <v>75</v>
      </c>
      <c r="D19" s="76">
        <v>43208</v>
      </c>
      <c r="E19" t="s">
        <v>143</v>
      </c>
      <c r="F19" t="s">
        <v>146</v>
      </c>
      <c r="G19" t="s">
        <v>147</v>
      </c>
      <c r="H19" s="77" t="str">
        <f t="shared" si="0"/>
        <v>11-12</v>
      </c>
      <c r="I19">
        <v>5</v>
      </c>
      <c r="J19">
        <v>5</v>
      </c>
    </row>
    <row r="20" spans="1:10" x14ac:dyDescent="0.25">
      <c r="A20">
        <v>9</v>
      </c>
      <c r="B20">
        <v>7</v>
      </c>
      <c r="C20">
        <v>0</v>
      </c>
      <c r="D20" s="76">
        <v>43201</v>
      </c>
      <c r="E20" t="s">
        <v>143</v>
      </c>
      <c r="F20" t="s">
        <v>146</v>
      </c>
      <c r="G20" t="s">
        <v>147</v>
      </c>
      <c r="H20" s="77" t="str">
        <f t="shared" si="0"/>
        <v>11-12</v>
      </c>
      <c r="I20">
        <v>5</v>
      </c>
      <c r="J20">
        <v>5</v>
      </c>
    </row>
    <row r="21" spans="1:10" x14ac:dyDescent="0.25">
      <c r="A21">
        <v>35</v>
      </c>
      <c r="B21">
        <v>7</v>
      </c>
      <c r="C21">
        <v>50</v>
      </c>
      <c r="D21" s="76">
        <v>43201</v>
      </c>
      <c r="E21" t="s">
        <v>143</v>
      </c>
      <c r="F21" t="s">
        <v>146</v>
      </c>
      <c r="G21" t="s">
        <v>147</v>
      </c>
      <c r="H21" s="77" t="str">
        <f t="shared" si="0"/>
        <v>11-12</v>
      </c>
      <c r="I21">
        <v>5</v>
      </c>
      <c r="J21">
        <v>5</v>
      </c>
    </row>
    <row r="22" spans="1:10" x14ac:dyDescent="0.25">
      <c r="A22">
        <v>15</v>
      </c>
      <c r="B22">
        <v>7</v>
      </c>
      <c r="C22">
        <v>75</v>
      </c>
      <c r="D22" s="76">
        <v>43201</v>
      </c>
      <c r="E22" t="s">
        <v>143</v>
      </c>
      <c r="F22" t="s">
        <v>146</v>
      </c>
      <c r="G22" t="s">
        <v>147</v>
      </c>
      <c r="H22" s="77" t="str">
        <f t="shared" si="0"/>
        <v>11-12</v>
      </c>
      <c r="I22">
        <v>5</v>
      </c>
      <c r="J22">
        <v>5</v>
      </c>
    </row>
    <row r="23" spans="1:10" x14ac:dyDescent="0.25">
      <c r="A23">
        <v>18</v>
      </c>
      <c r="B23">
        <v>8</v>
      </c>
      <c r="C23">
        <v>0</v>
      </c>
      <c r="D23" s="76">
        <v>43202</v>
      </c>
      <c r="E23" t="s">
        <v>143</v>
      </c>
      <c r="F23" t="s">
        <v>146</v>
      </c>
      <c r="G23" t="s">
        <v>147</v>
      </c>
      <c r="H23" s="77" t="str">
        <f t="shared" si="0"/>
        <v>11-12</v>
      </c>
      <c r="I23">
        <v>5</v>
      </c>
      <c r="J23">
        <v>5</v>
      </c>
    </row>
    <row r="24" spans="1:10" x14ac:dyDescent="0.25">
      <c r="A24">
        <v>30</v>
      </c>
      <c r="B24">
        <v>8</v>
      </c>
      <c r="C24">
        <v>60</v>
      </c>
      <c r="D24" s="76">
        <v>43202</v>
      </c>
      <c r="E24" t="s">
        <v>143</v>
      </c>
      <c r="F24" t="s">
        <v>146</v>
      </c>
      <c r="G24" t="s">
        <v>147</v>
      </c>
      <c r="H24" s="77" t="str">
        <f t="shared" si="0"/>
        <v>11-12</v>
      </c>
      <c r="I24">
        <v>5</v>
      </c>
      <c r="J24">
        <v>5</v>
      </c>
    </row>
    <row r="25" spans="1:10" x14ac:dyDescent="0.25">
      <c r="A25">
        <v>32</v>
      </c>
      <c r="B25">
        <v>8</v>
      </c>
      <c r="C25">
        <v>75</v>
      </c>
      <c r="D25" s="76">
        <v>43202</v>
      </c>
      <c r="E25" t="s">
        <v>143</v>
      </c>
      <c r="F25" t="s">
        <v>146</v>
      </c>
      <c r="G25" t="s">
        <v>147</v>
      </c>
      <c r="H25" s="77" t="str">
        <f t="shared" si="0"/>
        <v>11-12</v>
      </c>
      <c r="I25">
        <v>5</v>
      </c>
      <c r="J25">
        <v>5</v>
      </c>
    </row>
    <row r="26" spans="1:10" x14ac:dyDescent="0.25">
      <c r="A26">
        <v>34</v>
      </c>
      <c r="B26">
        <v>9</v>
      </c>
      <c r="C26">
        <v>0</v>
      </c>
      <c r="D26" s="76">
        <v>43572</v>
      </c>
      <c r="E26" t="s">
        <v>143</v>
      </c>
      <c r="F26" t="s">
        <v>146</v>
      </c>
      <c r="G26" t="s">
        <v>147</v>
      </c>
      <c r="H26" s="77" t="str">
        <f t="shared" si="0"/>
        <v>11-12</v>
      </c>
      <c r="I26">
        <v>5</v>
      </c>
      <c r="J26">
        <v>5</v>
      </c>
    </row>
    <row r="27" spans="1:10" x14ac:dyDescent="0.25">
      <c r="A27">
        <v>3</v>
      </c>
      <c r="B27">
        <v>9</v>
      </c>
      <c r="C27">
        <v>50</v>
      </c>
      <c r="D27" s="76">
        <v>43207</v>
      </c>
      <c r="E27" t="s">
        <v>143</v>
      </c>
      <c r="F27" t="s">
        <v>146</v>
      </c>
      <c r="G27" t="s">
        <v>147</v>
      </c>
      <c r="H27" s="77" t="str">
        <f t="shared" si="0"/>
        <v>11-12</v>
      </c>
      <c r="I27">
        <v>5</v>
      </c>
      <c r="J27">
        <v>5</v>
      </c>
    </row>
    <row r="28" spans="1:10" x14ac:dyDescent="0.25">
      <c r="A28">
        <v>16</v>
      </c>
      <c r="B28">
        <v>9</v>
      </c>
      <c r="C28">
        <v>75</v>
      </c>
      <c r="D28" s="76">
        <v>43207</v>
      </c>
      <c r="E28" t="s">
        <v>143</v>
      </c>
      <c r="F28" t="s">
        <v>146</v>
      </c>
      <c r="G28" t="s">
        <v>147</v>
      </c>
      <c r="H28" s="77" t="str">
        <f t="shared" si="0"/>
        <v>11-12</v>
      </c>
      <c r="I28">
        <v>5</v>
      </c>
      <c r="J28">
        <v>5</v>
      </c>
    </row>
    <row r="29" spans="1:10" x14ac:dyDescent="0.25">
      <c r="A29">
        <v>25</v>
      </c>
      <c r="B29">
        <v>10</v>
      </c>
      <c r="C29">
        <v>0</v>
      </c>
      <c r="D29" s="76">
        <v>43216</v>
      </c>
      <c r="E29" t="s">
        <v>143</v>
      </c>
      <c r="F29" t="s">
        <v>146</v>
      </c>
      <c r="G29" t="s">
        <v>147</v>
      </c>
      <c r="H29" s="77" t="str">
        <f t="shared" si="0"/>
        <v>11-12</v>
      </c>
      <c r="I29">
        <v>5</v>
      </c>
      <c r="J29">
        <v>5</v>
      </c>
    </row>
    <row r="30" spans="1:10" x14ac:dyDescent="0.25">
      <c r="A30">
        <v>5</v>
      </c>
      <c r="B30">
        <v>10</v>
      </c>
      <c r="C30">
        <v>60</v>
      </c>
      <c r="D30" s="76">
        <v>43216</v>
      </c>
      <c r="E30" t="s">
        <v>143</v>
      </c>
      <c r="F30" t="s">
        <v>146</v>
      </c>
      <c r="G30" t="s">
        <v>147</v>
      </c>
      <c r="H30" s="77" t="str">
        <f t="shared" si="0"/>
        <v>11-12</v>
      </c>
      <c r="I30">
        <v>5</v>
      </c>
      <c r="J30">
        <v>5</v>
      </c>
    </row>
    <row r="31" spans="1:10" x14ac:dyDescent="0.25">
      <c r="A31">
        <v>24</v>
      </c>
      <c r="B31">
        <v>10</v>
      </c>
      <c r="C31">
        <v>75</v>
      </c>
      <c r="D31" s="76">
        <v>43216</v>
      </c>
      <c r="E31" t="s">
        <v>143</v>
      </c>
      <c r="F31" t="s">
        <v>146</v>
      </c>
      <c r="G31" t="s">
        <v>147</v>
      </c>
      <c r="H31" s="77" t="str">
        <f t="shared" si="0"/>
        <v>11-12</v>
      </c>
      <c r="I31">
        <v>5</v>
      </c>
      <c r="J31">
        <v>5</v>
      </c>
    </row>
    <row r="32" spans="1:10" x14ac:dyDescent="0.25">
      <c r="A32">
        <v>27</v>
      </c>
      <c r="B32">
        <v>11</v>
      </c>
      <c r="C32">
        <v>50</v>
      </c>
      <c r="D32" s="76">
        <v>43217</v>
      </c>
      <c r="E32" t="s">
        <v>143</v>
      </c>
      <c r="F32" t="s">
        <v>146</v>
      </c>
      <c r="G32" t="s">
        <v>147</v>
      </c>
      <c r="H32" s="77" t="str">
        <f t="shared" si="0"/>
        <v>11-12</v>
      </c>
      <c r="I32">
        <v>5</v>
      </c>
      <c r="J32">
        <v>5</v>
      </c>
    </row>
    <row r="33" spans="1:10" x14ac:dyDescent="0.25">
      <c r="A33">
        <v>13</v>
      </c>
      <c r="B33">
        <v>11</v>
      </c>
      <c r="C33">
        <v>60</v>
      </c>
      <c r="D33" s="76">
        <v>43217</v>
      </c>
      <c r="E33" t="s">
        <v>143</v>
      </c>
      <c r="F33" t="s">
        <v>146</v>
      </c>
      <c r="G33" t="s">
        <v>147</v>
      </c>
      <c r="H33" s="77" t="str">
        <f t="shared" si="0"/>
        <v>11-12</v>
      </c>
      <c r="I33">
        <v>5</v>
      </c>
      <c r="J33">
        <v>5</v>
      </c>
    </row>
    <row r="34" spans="1:10" x14ac:dyDescent="0.25">
      <c r="A34">
        <v>7</v>
      </c>
      <c r="B34">
        <v>11</v>
      </c>
      <c r="C34">
        <v>75</v>
      </c>
      <c r="D34" s="76">
        <v>43217</v>
      </c>
      <c r="E34" t="s">
        <v>143</v>
      </c>
      <c r="F34" t="s">
        <v>146</v>
      </c>
      <c r="G34" t="s">
        <v>147</v>
      </c>
      <c r="H34" s="77" t="str">
        <f t="shared" si="0"/>
        <v>11-12</v>
      </c>
      <c r="I34">
        <v>5</v>
      </c>
      <c r="J34">
        <v>5</v>
      </c>
    </row>
    <row r="35" spans="1:10" x14ac:dyDescent="0.25">
      <c r="A35">
        <v>10</v>
      </c>
      <c r="B35">
        <v>12</v>
      </c>
      <c r="C35">
        <v>0</v>
      </c>
      <c r="D35" s="76">
        <v>43221</v>
      </c>
      <c r="E35" t="s">
        <v>143</v>
      </c>
      <c r="F35" t="s">
        <v>146</v>
      </c>
      <c r="G35" t="s">
        <v>147</v>
      </c>
      <c r="H35" s="77" t="str">
        <f t="shared" si="0"/>
        <v>11-12</v>
      </c>
      <c r="I35">
        <v>5</v>
      </c>
      <c r="J35">
        <v>5</v>
      </c>
    </row>
    <row r="36" spans="1:10" x14ac:dyDescent="0.25">
      <c r="A36">
        <v>21</v>
      </c>
      <c r="B36">
        <v>12</v>
      </c>
      <c r="C36">
        <v>60</v>
      </c>
      <c r="D36" s="76">
        <v>43221</v>
      </c>
      <c r="E36" t="s">
        <v>143</v>
      </c>
      <c r="F36" t="s">
        <v>146</v>
      </c>
      <c r="G36" t="s">
        <v>147</v>
      </c>
      <c r="H36" s="77" t="str">
        <f t="shared" si="0"/>
        <v>11-12</v>
      </c>
      <c r="I36">
        <v>5</v>
      </c>
      <c r="J36">
        <v>5</v>
      </c>
    </row>
    <row r="37" spans="1:10" x14ac:dyDescent="0.25">
      <c r="A37">
        <v>39</v>
      </c>
      <c r="B37">
        <v>12</v>
      </c>
      <c r="C37">
        <v>75</v>
      </c>
      <c r="D37" s="76">
        <v>43221</v>
      </c>
      <c r="E37" t="s">
        <v>143</v>
      </c>
      <c r="F37" t="s">
        <v>146</v>
      </c>
      <c r="G37" t="s">
        <v>147</v>
      </c>
      <c r="H37" s="77" t="str">
        <f t="shared" si="0"/>
        <v>11-12</v>
      </c>
      <c r="I37">
        <v>5</v>
      </c>
      <c r="J37">
        <v>5</v>
      </c>
    </row>
    <row r="38" spans="1:10" x14ac:dyDescent="0.25">
      <c r="A38">
        <v>17</v>
      </c>
      <c r="B38">
        <v>13</v>
      </c>
      <c r="C38">
        <v>0</v>
      </c>
      <c r="D38" s="76">
        <v>43222</v>
      </c>
      <c r="E38" t="s">
        <v>143</v>
      </c>
      <c r="F38" t="s">
        <v>146</v>
      </c>
      <c r="G38" t="s">
        <v>147</v>
      </c>
      <c r="H38" s="77" t="str">
        <f t="shared" si="0"/>
        <v>11-12</v>
      </c>
      <c r="I38">
        <v>5</v>
      </c>
      <c r="J38">
        <v>5</v>
      </c>
    </row>
    <row r="39" spans="1:10" x14ac:dyDescent="0.25">
      <c r="A39">
        <v>4</v>
      </c>
      <c r="B39">
        <v>13</v>
      </c>
      <c r="C39">
        <v>50</v>
      </c>
      <c r="D39" s="76">
        <v>43222</v>
      </c>
      <c r="E39" t="s">
        <v>143</v>
      </c>
      <c r="F39" t="s">
        <v>146</v>
      </c>
      <c r="G39" t="s">
        <v>147</v>
      </c>
      <c r="H39" s="77" t="str">
        <f t="shared" si="0"/>
        <v>11-12</v>
      </c>
      <c r="I39">
        <v>5</v>
      </c>
      <c r="J39">
        <v>5</v>
      </c>
    </row>
    <row r="40" spans="1:10" x14ac:dyDescent="0.25">
      <c r="A40">
        <v>12</v>
      </c>
      <c r="B40">
        <v>13</v>
      </c>
      <c r="C40">
        <v>50</v>
      </c>
      <c r="D40" s="76">
        <v>43222</v>
      </c>
      <c r="E40" t="s">
        <v>143</v>
      </c>
      <c r="F40" t="s">
        <v>146</v>
      </c>
      <c r="G40" t="s">
        <v>147</v>
      </c>
      <c r="H40" s="77" t="str">
        <f t="shared" si="0"/>
        <v>11-12</v>
      </c>
      <c r="I40">
        <v>5</v>
      </c>
      <c r="J40">
        <v>5</v>
      </c>
    </row>
  </sheetData>
  <sortState ref="A2:D40">
    <sortCondition ref="B2:B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D14" sqref="D14"/>
    </sheetView>
  </sheetViews>
  <sheetFormatPr defaultRowHeight="15" x14ac:dyDescent="0.25"/>
  <cols>
    <col min="1" max="1" width="13.140625" bestFit="1" customWidth="1"/>
    <col min="2" max="2" width="23.28515625" bestFit="1" customWidth="1"/>
  </cols>
  <sheetData>
    <row r="3" spans="1:2" x14ac:dyDescent="0.25">
      <c r="A3" s="78" t="s">
        <v>151</v>
      </c>
      <c r="B3" s="79" t="s">
        <v>154</v>
      </c>
    </row>
    <row r="4" spans="1:2" x14ac:dyDescent="0.25">
      <c r="A4" s="80">
        <v>0</v>
      </c>
      <c r="B4" s="81">
        <v>10</v>
      </c>
    </row>
    <row r="5" spans="1:2" x14ac:dyDescent="0.25">
      <c r="A5" s="82">
        <v>50</v>
      </c>
      <c r="B5" s="83">
        <v>10</v>
      </c>
    </row>
    <row r="6" spans="1:2" x14ac:dyDescent="0.25">
      <c r="A6" s="82">
        <v>60</v>
      </c>
      <c r="B6" s="83">
        <v>9</v>
      </c>
    </row>
    <row r="7" spans="1:2" x14ac:dyDescent="0.25">
      <c r="A7" s="82">
        <v>75</v>
      </c>
      <c r="B7" s="83">
        <v>10</v>
      </c>
    </row>
    <row r="8" spans="1:2" x14ac:dyDescent="0.25">
      <c r="A8" s="82" t="s">
        <v>152</v>
      </c>
      <c r="B8" s="83"/>
    </row>
    <row r="9" spans="1:2" x14ac:dyDescent="0.25">
      <c r="A9" s="84" t="s">
        <v>153</v>
      </c>
      <c r="B9" s="85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"/>
  <sheetViews>
    <sheetView zoomScaleNormal="40" zoomScalePageLayoutView="40" workbookViewId="0">
      <selection activeCell="E1" sqref="E1"/>
    </sheetView>
  </sheetViews>
  <sheetFormatPr defaultColWidth="8.85546875" defaultRowHeight="15" x14ac:dyDescent="0.25"/>
  <cols>
    <col min="4" max="5" width="10.28515625" style="38" customWidth="1"/>
    <col min="6" max="6" width="17.7109375" style="38" customWidth="1"/>
    <col min="7" max="7" width="22.85546875" style="38" customWidth="1"/>
    <col min="8" max="9" width="23.140625" customWidth="1"/>
    <col min="10" max="10" width="16.85546875" customWidth="1"/>
    <col min="11" max="13" width="19.85546875" customWidth="1"/>
    <col min="14" max="15" width="17.28515625" customWidth="1"/>
    <col min="16" max="18" width="9" bestFit="1" customWidth="1"/>
    <col min="19" max="19" width="23.7109375" customWidth="1"/>
    <col min="20" max="20" width="19.85546875" customWidth="1"/>
    <col min="21" max="21" width="22.85546875" customWidth="1"/>
    <col min="22" max="22" width="17.140625" customWidth="1"/>
    <col min="23" max="23" width="14.28515625" customWidth="1"/>
    <col min="24" max="24" width="14.140625" customWidth="1"/>
    <col min="25" max="25" width="21.28515625" customWidth="1"/>
    <col min="27" max="27" width="29.7109375" customWidth="1"/>
  </cols>
  <sheetData>
    <row r="1" spans="1:27" x14ac:dyDescent="0.25">
      <c r="A1" s="1" t="s">
        <v>38</v>
      </c>
      <c r="B1" s="1" t="s">
        <v>39</v>
      </c>
      <c r="C1" s="1" t="s">
        <v>40</v>
      </c>
      <c r="D1" s="37" t="s">
        <v>42</v>
      </c>
      <c r="E1" s="37" t="s">
        <v>92</v>
      </c>
      <c r="F1" s="37" t="s">
        <v>48</v>
      </c>
      <c r="G1" s="37" t="s">
        <v>43</v>
      </c>
      <c r="H1" s="1" t="s">
        <v>44</v>
      </c>
      <c r="I1" s="1" t="s">
        <v>102</v>
      </c>
      <c r="J1" s="1" t="s">
        <v>101</v>
      </c>
      <c r="L1" s="1" t="s">
        <v>47</v>
      </c>
      <c r="M1" s="1" t="s">
        <v>93</v>
      </c>
      <c r="N1" s="1" t="s">
        <v>6</v>
      </c>
      <c r="O1" s="1" t="s">
        <v>7</v>
      </c>
      <c r="P1" s="1" t="s">
        <v>94</v>
      </c>
      <c r="Q1" s="1" t="s">
        <v>95</v>
      </c>
      <c r="R1" s="1" t="s">
        <v>97</v>
      </c>
      <c r="S1" s="1" t="s">
        <v>1</v>
      </c>
      <c r="T1" s="1" t="s">
        <v>2</v>
      </c>
      <c r="U1" s="1" t="s">
        <v>3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9</v>
      </c>
      <c r="AA1" s="1" t="s">
        <v>10</v>
      </c>
    </row>
    <row r="2" spans="1:27" x14ac:dyDescent="0.25">
      <c r="A2" s="4">
        <v>2</v>
      </c>
      <c r="B2" s="4">
        <v>1</v>
      </c>
      <c r="C2" s="4">
        <v>0</v>
      </c>
      <c r="D2" s="3">
        <v>13707624</v>
      </c>
      <c r="E2" s="3">
        <v>29</v>
      </c>
      <c r="F2" s="3">
        <f>66.06+18.42</f>
        <v>84.48</v>
      </c>
      <c r="G2" s="3">
        <v>41.7</v>
      </c>
      <c r="H2" s="3">
        <v>38</v>
      </c>
      <c r="I2">
        <v>1</v>
      </c>
      <c r="J2">
        <v>0.3</v>
      </c>
      <c r="L2">
        <f t="shared" ref="L2:L40" si="0">100-(SUM(G2:J2))</f>
        <v>19</v>
      </c>
      <c r="M2">
        <v>2.87</v>
      </c>
      <c r="N2">
        <v>2.31</v>
      </c>
      <c r="O2">
        <v>1.1599999999999999</v>
      </c>
      <c r="P2">
        <v>3.87</v>
      </c>
      <c r="Q2">
        <v>2.2200000000000002</v>
      </c>
      <c r="R2">
        <v>318.75</v>
      </c>
      <c r="S2">
        <v>1.1000000000000001</v>
      </c>
      <c r="T2">
        <v>93802</v>
      </c>
      <c r="U2">
        <v>1.8</v>
      </c>
      <c r="W2">
        <v>23.89</v>
      </c>
      <c r="X2">
        <v>25.74</v>
      </c>
      <c r="Y2">
        <v>25.93</v>
      </c>
      <c r="Z2">
        <v>25.82</v>
      </c>
      <c r="AA2">
        <v>3.96</v>
      </c>
    </row>
    <row r="3" spans="1:27" x14ac:dyDescent="0.25">
      <c r="A3" s="8">
        <v>5</v>
      </c>
      <c r="B3" s="8">
        <v>2</v>
      </c>
      <c r="C3" s="8">
        <v>0</v>
      </c>
      <c r="D3" s="3">
        <v>21748199</v>
      </c>
      <c r="E3" s="3">
        <v>27</v>
      </c>
      <c r="F3" s="3">
        <v>84.36</v>
      </c>
      <c r="G3" s="3">
        <v>49.3</v>
      </c>
      <c r="H3">
        <v>42.1</v>
      </c>
      <c r="I3">
        <v>0.4</v>
      </c>
      <c r="J3">
        <v>0.2</v>
      </c>
      <c r="L3">
        <f t="shared" si="0"/>
        <v>7.9999999999999858</v>
      </c>
      <c r="M3">
        <v>2.58</v>
      </c>
      <c r="N3">
        <v>2.46</v>
      </c>
      <c r="O3">
        <v>1.69</v>
      </c>
      <c r="P3">
        <v>3.68</v>
      </c>
      <c r="Q3">
        <v>1.96</v>
      </c>
      <c r="R3">
        <v>85.19</v>
      </c>
      <c r="S3">
        <v>0.4</v>
      </c>
      <c r="T3">
        <v>76477</v>
      </c>
      <c r="U3">
        <v>0.8</v>
      </c>
      <c r="V3">
        <v>17.54</v>
      </c>
      <c r="W3">
        <v>22.7</v>
      </c>
      <c r="X3">
        <v>25.65</v>
      </c>
      <c r="Y3">
        <v>26.05</v>
      </c>
      <c r="Z3">
        <v>25.85</v>
      </c>
      <c r="AA3">
        <v>4.22</v>
      </c>
    </row>
    <row r="4" spans="1:27" x14ac:dyDescent="0.25">
      <c r="A4" s="30">
        <v>9</v>
      </c>
      <c r="B4" s="30">
        <v>3</v>
      </c>
      <c r="C4" s="30">
        <v>50</v>
      </c>
      <c r="D4" s="3">
        <v>12849203</v>
      </c>
      <c r="E4" s="3">
        <v>27</v>
      </c>
      <c r="F4" s="3">
        <v>83.33</v>
      </c>
      <c r="G4" s="3">
        <v>46.3</v>
      </c>
      <c r="H4">
        <v>41.2</v>
      </c>
      <c r="I4">
        <v>0.5</v>
      </c>
      <c r="J4">
        <v>0.2</v>
      </c>
      <c r="L4">
        <f t="shared" si="0"/>
        <v>11.799999999999997</v>
      </c>
      <c r="M4">
        <v>3.25</v>
      </c>
      <c r="N4">
        <v>2.29</v>
      </c>
      <c r="O4">
        <v>1.57</v>
      </c>
      <c r="P4">
        <v>4.8600000000000003</v>
      </c>
      <c r="Q4">
        <v>2.37</v>
      </c>
      <c r="R4">
        <v>153.6</v>
      </c>
      <c r="S4">
        <v>0.5</v>
      </c>
      <c r="T4">
        <v>48781</v>
      </c>
      <c r="U4">
        <v>0.9</v>
      </c>
      <c r="V4">
        <v>17.559999999999999</v>
      </c>
      <c r="W4">
        <v>23.1</v>
      </c>
      <c r="X4">
        <v>25.49</v>
      </c>
      <c r="Y4">
        <v>25.88</v>
      </c>
      <c r="Z4">
        <v>25.68</v>
      </c>
      <c r="AA4">
        <v>3.57</v>
      </c>
    </row>
    <row r="5" spans="1:27" x14ac:dyDescent="0.25">
      <c r="A5" s="35">
        <v>13</v>
      </c>
      <c r="B5" s="35">
        <v>4</v>
      </c>
      <c r="C5" s="35">
        <v>50</v>
      </c>
      <c r="D5" s="3">
        <v>22840944</v>
      </c>
      <c r="E5" s="3">
        <v>28</v>
      </c>
      <c r="F5" s="3">
        <v>83.62</v>
      </c>
      <c r="G5" s="3">
        <v>43.4</v>
      </c>
      <c r="H5">
        <v>40.4</v>
      </c>
      <c r="I5">
        <v>1.2</v>
      </c>
      <c r="J5">
        <v>0.3</v>
      </c>
      <c r="L5">
        <f t="shared" si="0"/>
        <v>14.700000000000003</v>
      </c>
      <c r="M5">
        <v>2.21</v>
      </c>
      <c r="N5">
        <v>1.67</v>
      </c>
      <c r="O5">
        <v>0.94</v>
      </c>
      <c r="P5">
        <v>2.88</v>
      </c>
      <c r="Q5">
        <v>1.74</v>
      </c>
      <c r="R5">
        <v>107.85</v>
      </c>
      <c r="S5">
        <v>1.3</v>
      </c>
      <c r="T5">
        <v>234293</v>
      </c>
      <c r="U5">
        <v>2.5</v>
      </c>
      <c r="V5">
        <v>17.54</v>
      </c>
      <c r="W5">
        <v>24.6</v>
      </c>
      <c r="X5">
        <v>26.24</v>
      </c>
      <c r="Y5">
        <v>26.46</v>
      </c>
      <c r="Z5">
        <v>26.33</v>
      </c>
      <c r="AA5">
        <v>3.64</v>
      </c>
    </row>
    <row r="6" spans="1:27" x14ac:dyDescent="0.25">
      <c r="A6" s="14">
        <v>10</v>
      </c>
      <c r="B6" s="14">
        <v>5</v>
      </c>
      <c r="C6" s="14">
        <v>60</v>
      </c>
      <c r="D6" s="3">
        <v>17317472</v>
      </c>
      <c r="E6" s="3">
        <v>28</v>
      </c>
      <c r="F6" s="3">
        <v>83.97</v>
      </c>
      <c r="G6" s="3">
        <v>45</v>
      </c>
      <c r="H6">
        <v>40.700000000000003</v>
      </c>
      <c r="I6">
        <v>5.6</v>
      </c>
      <c r="J6">
        <v>0.7</v>
      </c>
      <c r="L6">
        <f t="shared" si="0"/>
        <v>8</v>
      </c>
      <c r="M6">
        <v>1.28</v>
      </c>
      <c r="N6">
        <v>1.83</v>
      </c>
      <c r="O6">
        <v>1.28</v>
      </c>
      <c r="P6">
        <v>1.63</v>
      </c>
      <c r="Q6">
        <v>1.03</v>
      </c>
      <c r="R6">
        <v>63.28</v>
      </c>
      <c r="S6">
        <v>5.9</v>
      </c>
      <c r="T6">
        <v>561788</v>
      </c>
      <c r="U6">
        <v>8</v>
      </c>
      <c r="V6">
        <v>17.45</v>
      </c>
      <c r="W6">
        <v>23.4</v>
      </c>
      <c r="X6">
        <v>26.87</v>
      </c>
      <c r="Y6">
        <v>27.17</v>
      </c>
      <c r="Z6">
        <v>26.97</v>
      </c>
      <c r="AA6">
        <v>4.71</v>
      </c>
    </row>
    <row r="7" spans="1:27" x14ac:dyDescent="0.25">
      <c r="A7" s="24">
        <v>6</v>
      </c>
      <c r="B7" s="24">
        <v>6</v>
      </c>
      <c r="C7" s="24">
        <v>60</v>
      </c>
      <c r="D7" s="3">
        <v>13822410</v>
      </c>
      <c r="E7" s="3">
        <v>38</v>
      </c>
      <c r="F7" s="3">
        <v>91.42</v>
      </c>
      <c r="G7" s="3">
        <v>67.8</v>
      </c>
      <c r="H7" s="3">
        <v>54</v>
      </c>
      <c r="I7">
        <v>2.9</v>
      </c>
      <c r="J7">
        <v>0.4</v>
      </c>
      <c r="L7">
        <f t="shared" si="0"/>
        <v>-25.100000000000009</v>
      </c>
      <c r="M7">
        <v>1.62</v>
      </c>
      <c r="N7">
        <v>1.07</v>
      </c>
      <c r="O7">
        <v>1.28</v>
      </c>
      <c r="P7">
        <v>1.74</v>
      </c>
      <c r="Q7">
        <v>1.51</v>
      </c>
      <c r="R7">
        <v>129.38</v>
      </c>
      <c r="S7">
        <v>2.2999999999999998</v>
      </c>
      <c r="T7">
        <v>163731</v>
      </c>
      <c r="U7">
        <v>2.2000000000000002</v>
      </c>
      <c r="V7">
        <v>17.82</v>
      </c>
      <c r="W7">
        <v>25.45</v>
      </c>
      <c r="X7">
        <v>27.67</v>
      </c>
      <c r="Y7">
        <v>28.06</v>
      </c>
      <c r="Z7">
        <v>27.85</v>
      </c>
      <c r="AA7">
        <v>1.99</v>
      </c>
    </row>
    <row r="8" spans="1:27" x14ac:dyDescent="0.25">
      <c r="A8" s="33">
        <v>11</v>
      </c>
      <c r="B8" s="33">
        <v>7</v>
      </c>
      <c r="C8" s="33">
        <v>75</v>
      </c>
      <c r="D8" s="3">
        <v>16610531</v>
      </c>
      <c r="E8" s="3">
        <v>27</v>
      </c>
      <c r="F8" s="3">
        <v>83.29</v>
      </c>
      <c r="G8" s="3">
        <v>24.7</v>
      </c>
      <c r="H8" s="3">
        <v>35.4</v>
      </c>
      <c r="I8" s="3">
        <v>33</v>
      </c>
      <c r="J8">
        <v>1.8</v>
      </c>
      <c r="L8">
        <f t="shared" si="0"/>
        <v>5.1000000000000085</v>
      </c>
      <c r="M8">
        <v>0.34</v>
      </c>
      <c r="N8">
        <v>1.1399999999999999</v>
      </c>
      <c r="O8">
        <v>1.37</v>
      </c>
      <c r="P8">
        <v>0.41</v>
      </c>
      <c r="Q8">
        <v>0.22</v>
      </c>
      <c r="R8">
        <v>34.06</v>
      </c>
      <c r="S8">
        <v>45.2</v>
      </c>
      <c r="T8">
        <v>2467842</v>
      </c>
      <c r="U8">
        <v>42</v>
      </c>
      <c r="V8">
        <v>17.95</v>
      </c>
      <c r="W8">
        <v>24.87</v>
      </c>
      <c r="X8">
        <v>29.66</v>
      </c>
      <c r="Y8">
        <v>30.16</v>
      </c>
      <c r="Z8">
        <v>29.35</v>
      </c>
      <c r="AA8">
        <v>7.49</v>
      </c>
    </row>
    <row r="9" spans="1:27" x14ac:dyDescent="0.25">
      <c r="A9" s="2">
        <v>1</v>
      </c>
      <c r="B9" s="2">
        <v>8</v>
      </c>
      <c r="C9" s="2">
        <v>75</v>
      </c>
      <c r="D9" s="3">
        <v>16347835</v>
      </c>
      <c r="E9" s="3">
        <v>32</v>
      </c>
      <c r="F9" s="3">
        <f>79.53+6.7</f>
        <v>86.23</v>
      </c>
      <c r="G9" s="3">
        <v>44.7</v>
      </c>
      <c r="H9" s="3">
        <v>45.8</v>
      </c>
      <c r="I9" s="3">
        <v>13.2</v>
      </c>
      <c r="J9">
        <v>0.9</v>
      </c>
      <c r="L9">
        <f t="shared" si="0"/>
        <v>-4.6000000000000085</v>
      </c>
      <c r="M9">
        <v>1.08</v>
      </c>
      <c r="N9">
        <v>1.38</v>
      </c>
      <c r="O9">
        <v>1.7</v>
      </c>
      <c r="P9">
        <v>1.32</v>
      </c>
      <c r="Q9">
        <v>0.87</v>
      </c>
      <c r="R9">
        <v>17.18</v>
      </c>
      <c r="S9">
        <v>15.5</v>
      </c>
      <c r="T9">
        <v>965380</v>
      </c>
      <c r="U9">
        <v>12.9</v>
      </c>
      <c r="V9">
        <v>17.7</v>
      </c>
      <c r="W9">
        <v>23.6</v>
      </c>
      <c r="X9">
        <v>27.77</v>
      </c>
      <c r="Y9">
        <v>27.99</v>
      </c>
      <c r="Z9">
        <v>27.75</v>
      </c>
      <c r="AA9">
        <v>4.75</v>
      </c>
    </row>
    <row r="10" spans="1:27" x14ac:dyDescent="0.25">
      <c r="A10" s="26">
        <v>7</v>
      </c>
      <c r="B10" s="26">
        <v>9</v>
      </c>
      <c r="C10" s="26">
        <v>0</v>
      </c>
      <c r="D10" s="3">
        <v>20044485</v>
      </c>
      <c r="E10" s="3">
        <v>29</v>
      </c>
      <c r="F10" s="38">
        <v>82.74</v>
      </c>
      <c r="G10" s="38">
        <v>41.6</v>
      </c>
      <c r="H10">
        <v>37.700000000000003</v>
      </c>
      <c r="I10" s="3">
        <v>1.3</v>
      </c>
      <c r="J10">
        <v>0.4</v>
      </c>
      <c r="L10">
        <f t="shared" si="0"/>
        <v>18.999999999999986</v>
      </c>
      <c r="M10">
        <v>2.76</v>
      </c>
      <c r="N10">
        <v>2.42</v>
      </c>
      <c r="O10">
        <v>1.49</v>
      </c>
      <c r="P10">
        <v>3.76</v>
      </c>
      <c r="Q10">
        <v>2.11</v>
      </c>
      <c r="R10">
        <v>238.75</v>
      </c>
      <c r="S10">
        <v>1.5</v>
      </c>
      <c r="T10">
        <v>144928</v>
      </c>
      <c r="U10">
        <v>1.9</v>
      </c>
      <c r="V10">
        <v>17.829999999999998</v>
      </c>
      <c r="W10">
        <v>22.95</v>
      </c>
      <c r="X10">
        <v>25.85</v>
      </c>
      <c r="Y10">
        <v>26.05</v>
      </c>
      <c r="Z10">
        <v>25.93</v>
      </c>
      <c r="AA10">
        <v>4.83</v>
      </c>
    </row>
    <row r="11" spans="1:27" x14ac:dyDescent="0.25">
      <c r="A11" s="20">
        <v>12</v>
      </c>
      <c r="B11" s="20">
        <v>10</v>
      </c>
      <c r="C11" s="20">
        <v>0</v>
      </c>
      <c r="D11" s="3">
        <v>15110151</v>
      </c>
      <c r="E11" s="3">
        <v>28</v>
      </c>
      <c r="F11" s="3">
        <v>84.78</v>
      </c>
      <c r="G11" s="3">
        <v>50.5</v>
      </c>
      <c r="H11">
        <v>40.299999999999997</v>
      </c>
      <c r="I11" s="3">
        <v>0.5</v>
      </c>
      <c r="J11">
        <v>0.2</v>
      </c>
      <c r="L11">
        <f t="shared" si="0"/>
        <v>8.5</v>
      </c>
      <c r="M11">
        <v>2.37</v>
      </c>
      <c r="N11">
        <v>2.14</v>
      </c>
      <c r="O11">
        <v>1.59</v>
      </c>
      <c r="P11">
        <v>3.81</v>
      </c>
      <c r="Q11">
        <v>1.69</v>
      </c>
      <c r="R11">
        <v>137.5</v>
      </c>
      <c r="S11">
        <v>0.6</v>
      </c>
      <c r="T11">
        <v>60440</v>
      </c>
      <c r="U11">
        <v>1</v>
      </c>
      <c r="V11">
        <v>17.52</v>
      </c>
      <c r="W11">
        <v>22.95</v>
      </c>
      <c r="X11">
        <v>26.65</v>
      </c>
      <c r="Y11">
        <v>26.18</v>
      </c>
      <c r="Z11">
        <v>25.93</v>
      </c>
      <c r="AA11">
        <v>3.32</v>
      </c>
    </row>
    <row r="12" spans="1:27" x14ac:dyDescent="0.25">
      <c r="A12" s="6">
        <v>3</v>
      </c>
      <c r="B12" s="6">
        <v>11</v>
      </c>
      <c r="C12" s="6">
        <v>50</v>
      </c>
      <c r="D12" s="3">
        <v>17199571</v>
      </c>
      <c r="E12" s="3">
        <v>34</v>
      </c>
      <c r="F12" s="3">
        <f>73.64+15.73</f>
        <v>89.37</v>
      </c>
      <c r="G12" s="3">
        <v>57.4</v>
      </c>
      <c r="H12" s="3">
        <v>45.6</v>
      </c>
      <c r="I12" s="3">
        <v>1.8</v>
      </c>
      <c r="J12">
        <v>0.3</v>
      </c>
      <c r="L12">
        <f t="shared" si="0"/>
        <v>-5.0999999999999943</v>
      </c>
      <c r="M12">
        <v>2.09</v>
      </c>
      <c r="N12">
        <v>1.31</v>
      </c>
      <c r="O12">
        <v>1.2</v>
      </c>
      <c r="P12">
        <v>2.4300000000000002</v>
      </c>
      <c r="Q12">
        <v>1.83</v>
      </c>
      <c r="R12">
        <v>66.540000000000006</v>
      </c>
      <c r="S12">
        <v>1.8</v>
      </c>
      <c r="T12">
        <v>151303</v>
      </c>
      <c r="U12">
        <v>1.9</v>
      </c>
      <c r="V12">
        <v>17.75</v>
      </c>
      <c r="W12">
        <v>24.27</v>
      </c>
      <c r="X12">
        <v>26.86</v>
      </c>
      <c r="Y12">
        <v>27.01</v>
      </c>
      <c r="Z12">
        <v>26.91</v>
      </c>
      <c r="AA12">
        <v>2.2400000000000002</v>
      </c>
    </row>
    <row r="13" spans="1:27" x14ac:dyDescent="0.25">
      <c r="A13" s="36">
        <v>13</v>
      </c>
      <c r="B13" s="36">
        <v>12</v>
      </c>
      <c r="C13" s="36">
        <v>50</v>
      </c>
      <c r="D13" s="3">
        <v>14626377</v>
      </c>
      <c r="E13" s="3">
        <v>29</v>
      </c>
      <c r="F13" s="3">
        <v>84.34</v>
      </c>
      <c r="G13" s="3">
        <v>47.4</v>
      </c>
      <c r="H13" s="3">
        <v>40.6</v>
      </c>
      <c r="I13" s="3">
        <v>3.1</v>
      </c>
      <c r="J13">
        <v>0.5</v>
      </c>
      <c r="L13">
        <f t="shared" si="0"/>
        <v>8.4000000000000057</v>
      </c>
      <c r="M13">
        <v>1.8</v>
      </c>
      <c r="N13">
        <v>1.71</v>
      </c>
      <c r="O13">
        <v>1.58</v>
      </c>
      <c r="P13">
        <v>2.46</v>
      </c>
      <c r="Q13">
        <v>1.39</v>
      </c>
      <c r="R13">
        <v>73.67</v>
      </c>
      <c r="S13">
        <v>3.2</v>
      </c>
      <c r="T13">
        <v>232730</v>
      </c>
      <c r="U13">
        <v>3.9</v>
      </c>
      <c r="V13">
        <v>17.53</v>
      </c>
      <c r="W13">
        <v>23.24</v>
      </c>
      <c r="X13">
        <v>26.42</v>
      </c>
      <c r="Y13">
        <v>26.79</v>
      </c>
      <c r="Z13">
        <v>26.57</v>
      </c>
      <c r="AA13">
        <v>4.12</v>
      </c>
    </row>
    <row r="14" spans="1:27" x14ac:dyDescent="0.25">
      <c r="A14" s="33">
        <v>11</v>
      </c>
      <c r="B14" s="33">
        <v>13</v>
      </c>
      <c r="C14" s="33">
        <v>60</v>
      </c>
      <c r="D14" s="3">
        <v>10525726</v>
      </c>
      <c r="E14" s="3">
        <v>39</v>
      </c>
      <c r="F14" s="3">
        <v>86.29</v>
      </c>
      <c r="G14" s="3">
        <v>37</v>
      </c>
      <c r="H14" s="3">
        <v>28.4</v>
      </c>
      <c r="I14" s="3">
        <v>1.3</v>
      </c>
      <c r="J14">
        <v>0.2</v>
      </c>
      <c r="L14">
        <f t="shared" si="0"/>
        <v>33.099999999999994</v>
      </c>
      <c r="M14">
        <v>1.57</v>
      </c>
      <c r="N14">
        <v>1.54</v>
      </c>
      <c r="O14">
        <v>0.91</v>
      </c>
      <c r="P14">
        <v>2.27</v>
      </c>
      <c r="Q14">
        <v>1.17</v>
      </c>
      <c r="R14">
        <v>68.5</v>
      </c>
      <c r="S14">
        <v>2.5</v>
      </c>
      <c r="T14">
        <v>80763</v>
      </c>
      <c r="U14">
        <v>2.7</v>
      </c>
      <c r="V14">
        <v>17.579999999999998</v>
      </c>
      <c r="W14">
        <v>24.58</v>
      </c>
      <c r="X14">
        <v>26.87</v>
      </c>
      <c r="Y14">
        <v>27.33</v>
      </c>
      <c r="Z14">
        <v>27.1</v>
      </c>
      <c r="AA14">
        <v>2.16</v>
      </c>
    </row>
    <row r="15" spans="1:27" x14ac:dyDescent="0.25">
      <c r="A15" s="8">
        <v>5</v>
      </c>
      <c r="B15" s="8">
        <v>14</v>
      </c>
      <c r="C15" s="8">
        <v>60</v>
      </c>
      <c r="D15" s="3">
        <v>17005612</v>
      </c>
      <c r="E15" s="3">
        <v>28</v>
      </c>
      <c r="F15" s="3">
        <v>83.58</v>
      </c>
      <c r="G15" s="3">
        <v>40.5</v>
      </c>
      <c r="H15" s="3">
        <v>39.200000000000003</v>
      </c>
      <c r="I15" s="3">
        <v>11.5</v>
      </c>
      <c r="J15">
        <v>1</v>
      </c>
      <c r="L15">
        <f t="shared" si="0"/>
        <v>7.7999999999999972</v>
      </c>
      <c r="M15">
        <v>1.06</v>
      </c>
      <c r="N15">
        <v>1.7</v>
      </c>
      <c r="O15">
        <v>1.58</v>
      </c>
      <c r="P15">
        <v>1.35</v>
      </c>
      <c r="Q15">
        <v>0.84</v>
      </c>
      <c r="R15">
        <v>18.77</v>
      </c>
      <c r="S15">
        <v>12.8</v>
      </c>
      <c r="T15">
        <v>885054</v>
      </c>
      <c r="U15">
        <v>13.3</v>
      </c>
      <c r="V15">
        <v>17.53</v>
      </c>
      <c r="W15">
        <v>23.52</v>
      </c>
      <c r="X15">
        <v>27.42</v>
      </c>
      <c r="Y15">
        <v>27.78</v>
      </c>
      <c r="Z15">
        <v>27.44</v>
      </c>
      <c r="AA15">
        <v>6.07</v>
      </c>
    </row>
    <row r="16" spans="1:27" x14ac:dyDescent="0.25">
      <c r="A16" s="26">
        <v>7</v>
      </c>
      <c r="B16" s="26">
        <v>15</v>
      </c>
      <c r="C16" s="26">
        <v>75</v>
      </c>
      <c r="D16" s="3">
        <v>26736873</v>
      </c>
      <c r="E16" s="3">
        <v>34</v>
      </c>
      <c r="F16" s="3">
        <v>86.97</v>
      </c>
      <c r="G16" s="3">
        <v>41.7</v>
      </c>
      <c r="H16" s="3">
        <v>42.6</v>
      </c>
      <c r="I16" s="3">
        <v>16.7</v>
      </c>
      <c r="J16">
        <v>1.2</v>
      </c>
      <c r="L16">
        <f t="shared" si="0"/>
        <v>-2.2000000000000171</v>
      </c>
      <c r="M16">
        <v>0.85</v>
      </c>
      <c r="N16">
        <v>1.57</v>
      </c>
      <c r="O16">
        <v>1.67</v>
      </c>
      <c r="P16">
        <v>1</v>
      </c>
      <c r="Q16">
        <v>0.71</v>
      </c>
      <c r="R16">
        <v>18.64</v>
      </c>
      <c r="S16">
        <v>20.2</v>
      </c>
      <c r="T16">
        <v>2002003</v>
      </c>
      <c r="U16">
        <v>17.600000000000001</v>
      </c>
      <c r="V16">
        <v>17.95</v>
      </c>
      <c r="W16">
        <v>23.75</v>
      </c>
      <c r="X16">
        <v>28.02</v>
      </c>
      <c r="Y16">
        <v>28.22</v>
      </c>
      <c r="Z16">
        <v>27.92</v>
      </c>
      <c r="AA16">
        <v>5.68</v>
      </c>
    </row>
    <row r="17" spans="1:27" x14ac:dyDescent="0.25">
      <c r="A17" s="29">
        <v>9</v>
      </c>
      <c r="B17" s="29">
        <v>16</v>
      </c>
      <c r="C17" s="29">
        <v>75</v>
      </c>
      <c r="D17" s="3">
        <v>16832582</v>
      </c>
      <c r="E17" s="3">
        <v>30</v>
      </c>
      <c r="F17" s="3">
        <v>83.75</v>
      </c>
      <c r="G17" s="3">
        <v>43.5</v>
      </c>
      <c r="H17" s="3">
        <v>38.9</v>
      </c>
      <c r="I17" s="3">
        <v>5.0999999999999996</v>
      </c>
      <c r="J17">
        <v>0.6</v>
      </c>
      <c r="L17">
        <f t="shared" si="0"/>
        <v>11.900000000000006</v>
      </c>
      <c r="M17">
        <v>1.36</v>
      </c>
      <c r="N17">
        <v>1.89</v>
      </c>
      <c r="O17">
        <v>1.54</v>
      </c>
      <c r="P17">
        <v>1.81</v>
      </c>
      <c r="Q17">
        <v>1.04</v>
      </c>
      <c r="R17">
        <v>45</v>
      </c>
      <c r="S17">
        <v>5.6</v>
      </c>
      <c r="T17">
        <v>429763</v>
      </c>
      <c r="U17">
        <v>6.6</v>
      </c>
      <c r="V17">
        <v>17.37</v>
      </c>
      <c r="W17">
        <v>23.7</v>
      </c>
      <c r="X17">
        <v>26.9</v>
      </c>
      <c r="Y17">
        <v>27.3</v>
      </c>
      <c r="Z17">
        <v>27.04</v>
      </c>
      <c r="AA17">
        <v>4.2</v>
      </c>
    </row>
    <row r="18" spans="1:27" x14ac:dyDescent="0.25">
      <c r="A18" s="17">
        <v>13</v>
      </c>
      <c r="B18" s="17">
        <v>17</v>
      </c>
      <c r="C18" s="17">
        <v>0</v>
      </c>
      <c r="D18" s="3">
        <v>21401244</v>
      </c>
      <c r="E18" s="3">
        <v>32</v>
      </c>
      <c r="F18" s="3">
        <v>86.76</v>
      </c>
      <c r="G18" s="3">
        <v>48</v>
      </c>
      <c r="H18" s="3">
        <v>40.700000000000003</v>
      </c>
      <c r="I18" s="3">
        <v>0.9</v>
      </c>
      <c r="J18">
        <v>0.2</v>
      </c>
      <c r="L18">
        <f t="shared" si="0"/>
        <v>10.199999999999989</v>
      </c>
      <c r="M18">
        <v>2.46</v>
      </c>
      <c r="N18">
        <v>1.52</v>
      </c>
      <c r="O18">
        <v>1.19</v>
      </c>
      <c r="P18">
        <v>3.52</v>
      </c>
      <c r="Q18">
        <v>1.83</v>
      </c>
      <c r="R18">
        <v>93.89</v>
      </c>
      <c r="S18">
        <v>1</v>
      </c>
      <c r="T18">
        <v>122525</v>
      </c>
      <c r="U18">
        <v>1.4</v>
      </c>
      <c r="V18">
        <v>17.809999999999999</v>
      </c>
      <c r="W18">
        <v>24.34</v>
      </c>
      <c r="X18">
        <v>26.23</v>
      </c>
      <c r="Y18">
        <v>26.75</v>
      </c>
      <c r="Z18">
        <v>26.48</v>
      </c>
      <c r="AA18">
        <v>2.75</v>
      </c>
    </row>
    <row r="19" spans="1:27" x14ac:dyDescent="0.25">
      <c r="A19" s="28">
        <v>8</v>
      </c>
      <c r="B19" s="28">
        <v>18</v>
      </c>
      <c r="C19" s="28">
        <v>0</v>
      </c>
      <c r="D19" s="3">
        <v>12531882</v>
      </c>
      <c r="E19" s="3">
        <v>29</v>
      </c>
      <c r="F19" s="3">
        <v>82.95</v>
      </c>
      <c r="G19" s="3">
        <v>46.3</v>
      </c>
      <c r="H19" s="3">
        <v>40.1</v>
      </c>
      <c r="I19" s="3">
        <v>0.8</v>
      </c>
      <c r="J19">
        <v>0.2</v>
      </c>
      <c r="L19">
        <f t="shared" si="0"/>
        <v>12.599999999999994</v>
      </c>
      <c r="M19">
        <v>2.64</v>
      </c>
      <c r="N19">
        <v>1.74</v>
      </c>
      <c r="O19">
        <v>1.23</v>
      </c>
      <c r="P19">
        <v>3.95</v>
      </c>
      <c r="Q19">
        <v>1.92</v>
      </c>
      <c r="R19">
        <v>157</v>
      </c>
      <c r="S19">
        <v>1.1000000000000001</v>
      </c>
      <c r="T19">
        <v>76149</v>
      </c>
      <c r="U19">
        <v>1.5</v>
      </c>
      <c r="V19">
        <v>17.64</v>
      </c>
      <c r="W19">
        <v>24.31</v>
      </c>
      <c r="X19">
        <v>25.84</v>
      </c>
      <c r="Y19">
        <v>26.29</v>
      </c>
      <c r="Z19">
        <v>26.06</v>
      </c>
      <c r="AA19">
        <v>3.02</v>
      </c>
    </row>
    <row r="20" spans="1:27" x14ac:dyDescent="0.25">
      <c r="A20" s="7">
        <v>2</v>
      </c>
      <c r="B20" s="7">
        <v>19</v>
      </c>
      <c r="C20" s="7">
        <v>50</v>
      </c>
      <c r="D20" s="3">
        <v>16838842</v>
      </c>
      <c r="E20" s="3">
        <v>29</v>
      </c>
      <c r="F20" s="3">
        <f>71.74+13.23</f>
        <v>84.97</v>
      </c>
      <c r="G20" s="3">
        <v>44.6</v>
      </c>
      <c r="H20" s="3">
        <v>42.6</v>
      </c>
      <c r="I20" s="3">
        <v>3.5</v>
      </c>
      <c r="J20">
        <v>0.5</v>
      </c>
      <c r="L20">
        <f t="shared" si="0"/>
        <v>8.7999999999999972</v>
      </c>
      <c r="M20">
        <v>1.76</v>
      </c>
      <c r="N20">
        <v>1.43</v>
      </c>
      <c r="O20">
        <v>1.33</v>
      </c>
      <c r="P20">
        <v>2.2400000000000002</v>
      </c>
      <c r="Q20">
        <v>1.41</v>
      </c>
      <c r="R20">
        <v>69.239999999999995</v>
      </c>
      <c r="S20">
        <v>3.7</v>
      </c>
      <c r="T20">
        <v>298435</v>
      </c>
      <c r="U20">
        <v>4.2</v>
      </c>
      <c r="V20">
        <v>17.559999999999999</v>
      </c>
      <c r="W20">
        <v>24.26</v>
      </c>
      <c r="X20">
        <v>26.76</v>
      </c>
      <c r="Y20">
        <v>27.03</v>
      </c>
      <c r="Z20">
        <v>26.86</v>
      </c>
      <c r="AA20">
        <v>3.88</v>
      </c>
    </row>
    <row r="21" spans="1:27" x14ac:dyDescent="0.25">
      <c r="A21" s="18">
        <v>4</v>
      </c>
      <c r="B21" s="18">
        <v>20</v>
      </c>
      <c r="C21" s="18">
        <v>50</v>
      </c>
      <c r="D21" s="3">
        <v>5763396</v>
      </c>
      <c r="E21" s="3">
        <v>29</v>
      </c>
      <c r="F21" s="3">
        <v>80.69</v>
      </c>
      <c r="G21" s="3">
        <v>42.6</v>
      </c>
      <c r="H21" s="3">
        <v>38.700000000000003</v>
      </c>
      <c r="I21" s="3">
        <v>3.5</v>
      </c>
      <c r="J21">
        <v>0.5</v>
      </c>
      <c r="L21">
        <f t="shared" si="0"/>
        <v>14.699999999999989</v>
      </c>
      <c r="M21">
        <v>1.71</v>
      </c>
      <c r="N21">
        <v>1.18</v>
      </c>
      <c r="O21">
        <v>1.1100000000000001</v>
      </c>
      <c r="P21">
        <v>2.15</v>
      </c>
      <c r="Q21">
        <v>1.38</v>
      </c>
      <c r="R21">
        <v>44.91</v>
      </c>
      <c r="S21">
        <v>4.5</v>
      </c>
      <c r="T21">
        <v>111397</v>
      </c>
      <c r="U21">
        <v>5</v>
      </c>
      <c r="V21">
        <v>17.579999999999998</v>
      </c>
      <c r="W21">
        <v>25.13</v>
      </c>
      <c r="X21">
        <v>26.83</v>
      </c>
      <c r="Y21">
        <v>27.12</v>
      </c>
      <c r="Z21">
        <v>26.93</v>
      </c>
      <c r="AA21">
        <v>3.75</v>
      </c>
    </row>
    <row r="22" spans="1:27" x14ac:dyDescent="0.25">
      <c r="A22" s="21">
        <v>12</v>
      </c>
      <c r="B22" s="21">
        <v>21</v>
      </c>
      <c r="C22" s="21">
        <v>60</v>
      </c>
      <c r="D22" s="3">
        <v>20135668</v>
      </c>
      <c r="E22" s="3">
        <v>31</v>
      </c>
      <c r="F22" s="3">
        <v>84.72</v>
      </c>
      <c r="G22" s="3">
        <v>44.5</v>
      </c>
      <c r="H22" s="3">
        <v>41.1</v>
      </c>
      <c r="I22" s="3">
        <v>4.4000000000000004</v>
      </c>
      <c r="J22">
        <v>0.6</v>
      </c>
      <c r="L22">
        <f t="shared" si="0"/>
        <v>9.4000000000000057</v>
      </c>
      <c r="M22">
        <v>1.59</v>
      </c>
      <c r="N22">
        <v>1.28</v>
      </c>
      <c r="O22">
        <v>1.18</v>
      </c>
      <c r="P22">
        <v>1.98</v>
      </c>
      <c r="Q22">
        <v>1.3</v>
      </c>
      <c r="R22">
        <v>63.17</v>
      </c>
      <c r="S22">
        <v>5.0999999999999996</v>
      </c>
      <c r="T22">
        <v>498477</v>
      </c>
      <c r="U22">
        <v>6</v>
      </c>
      <c r="V22">
        <v>17.670000000000002</v>
      </c>
      <c r="W22">
        <v>24.72</v>
      </c>
      <c r="X22">
        <v>27.09</v>
      </c>
      <c r="Y22">
        <v>27.39</v>
      </c>
      <c r="Z22">
        <v>27.19</v>
      </c>
      <c r="AA22">
        <v>4.26</v>
      </c>
    </row>
    <row r="23" spans="1:27" x14ac:dyDescent="0.25">
      <c r="A23" s="39">
        <v>1</v>
      </c>
      <c r="B23" s="39">
        <v>22</v>
      </c>
      <c r="C23" s="39">
        <v>60</v>
      </c>
      <c r="D23" s="3">
        <v>25828071</v>
      </c>
      <c r="E23" s="3">
        <v>30</v>
      </c>
      <c r="F23" s="3">
        <f>72.25+7.22</f>
        <v>79.47</v>
      </c>
      <c r="G23" s="3">
        <v>23.1</v>
      </c>
      <c r="H23" s="3">
        <v>31</v>
      </c>
      <c r="I23" s="3">
        <v>23.3</v>
      </c>
      <c r="J23">
        <v>2</v>
      </c>
      <c r="L23">
        <f t="shared" si="0"/>
        <v>20.599999999999994</v>
      </c>
      <c r="M23">
        <v>0.63</v>
      </c>
      <c r="N23">
        <v>1.21</v>
      </c>
      <c r="O23">
        <v>1.23</v>
      </c>
      <c r="P23">
        <v>0.75</v>
      </c>
      <c r="Q23">
        <v>0.49</v>
      </c>
      <c r="R23">
        <v>13.35</v>
      </c>
      <c r="S23">
        <v>34</v>
      </c>
      <c r="T23">
        <v>2241585</v>
      </c>
      <c r="U23">
        <v>32.200000000000003</v>
      </c>
      <c r="V23">
        <v>18.04</v>
      </c>
      <c r="W23">
        <v>24.99</v>
      </c>
      <c r="X23">
        <v>28.45</v>
      </c>
      <c r="Y23">
        <v>28.82</v>
      </c>
      <c r="Z23">
        <v>28.23</v>
      </c>
      <c r="AA23">
        <v>9.23</v>
      </c>
    </row>
    <row r="24" spans="1:27" x14ac:dyDescent="0.25">
      <c r="A24" s="9">
        <v>6</v>
      </c>
      <c r="B24" s="9">
        <v>23</v>
      </c>
      <c r="C24" s="9">
        <v>75</v>
      </c>
      <c r="D24" s="3">
        <f>795203+1468550</f>
        <v>2263753</v>
      </c>
      <c r="E24" s="3">
        <v>28.5</v>
      </c>
      <c r="F24" s="3">
        <v>81.83</v>
      </c>
      <c r="G24" s="3">
        <v>41.7</v>
      </c>
      <c r="H24" s="3">
        <v>40</v>
      </c>
      <c r="I24" s="3">
        <v>14.1</v>
      </c>
      <c r="J24">
        <v>1.5</v>
      </c>
      <c r="L24">
        <f t="shared" si="0"/>
        <v>2.7000000000000028</v>
      </c>
      <c r="M24">
        <v>0.75</v>
      </c>
      <c r="N24">
        <v>1.62</v>
      </c>
      <c r="O24">
        <v>2.27</v>
      </c>
      <c r="P24">
        <v>0.83</v>
      </c>
      <c r="Q24">
        <v>0.67</v>
      </c>
      <c r="R24">
        <v>39.119999999999997</v>
      </c>
      <c r="S24">
        <v>14</v>
      </c>
      <c r="T24">
        <v>189322</v>
      </c>
      <c r="U24">
        <v>11.9</v>
      </c>
      <c r="V24">
        <v>17.93</v>
      </c>
      <c r="W24">
        <v>22.39</v>
      </c>
      <c r="X24">
        <v>28.16</v>
      </c>
      <c r="Y24">
        <v>28.18</v>
      </c>
      <c r="Z24">
        <v>27.83</v>
      </c>
      <c r="AA24">
        <v>7.1</v>
      </c>
    </row>
    <row r="25" spans="1:27" x14ac:dyDescent="0.25">
      <c r="A25" s="32">
        <v>10</v>
      </c>
      <c r="B25" s="32">
        <v>24</v>
      </c>
      <c r="C25" s="32">
        <v>75</v>
      </c>
      <c r="D25" s="3">
        <v>1021786</v>
      </c>
      <c r="E25" s="3">
        <v>25</v>
      </c>
      <c r="F25" s="3">
        <v>41.97</v>
      </c>
      <c r="G25" s="3">
        <v>15</v>
      </c>
      <c r="H25" s="3">
        <v>15.3</v>
      </c>
      <c r="I25" s="3">
        <v>6.9</v>
      </c>
      <c r="J25">
        <v>0.7</v>
      </c>
      <c r="L25">
        <f t="shared" si="0"/>
        <v>62.099999999999994</v>
      </c>
      <c r="M25">
        <v>0.7</v>
      </c>
      <c r="N25">
        <v>1.41</v>
      </c>
      <c r="O25">
        <v>1.1000000000000001</v>
      </c>
      <c r="P25">
        <v>0.85</v>
      </c>
      <c r="Q25">
        <v>0.55000000000000004</v>
      </c>
      <c r="R25">
        <v>31.8</v>
      </c>
      <c r="S25">
        <v>19.8</v>
      </c>
      <c r="T25">
        <v>30384</v>
      </c>
      <c r="U25">
        <v>19.5</v>
      </c>
      <c r="V25">
        <v>17.600000000000001</v>
      </c>
      <c r="W25">
        <v>23.82</v>
      </c>
      <c r="X25">
        <v>28.39</v>
      </c>
      <c r="Y25">
        <v>28.65</v>
      </c>
      <c r="Z25">
        <v>28.18</v>
      </c>
      <c r="AA25">
        <v>4.6900000000000004</v>
      </c>
    </row>
    <row r="26" spans="1:27" x14ac:dyDescent="0.25">
      <c r="A26" s="31">
        <v>10</v>
      </c>
      <c r="B26" s="31">
        <v>25</v>
      </c>
      <c r="C26" s="31">
        <v>0</v>
      </c>
      <c r="D26" s="3">
        <v>16492156</v>
      </c>
      <c r="E26" s="3">
        <v>39</v>
      </c>
      <c r="F26" s="3">
        <v>87.86</v>
      </c>
      <c r="G26" s="3">
        <v>41.3</v>
      </c>
      <c r="H26" s="3">
        <v>32.1</v>
      </c>
      <c r="I26" s="3">
        <v>1.3</v>
      </c>
      <c r="J26">
        <v>0.2</v>
      </c>
      <c r="L26">
        <f t="shared" si="0"/>
        <v>25.099999999999994</v>
      </c>
      <c r="M26">
        <v>1.77</v>
      </c>
      <c r="N26">
        <v>1.43</v>
      </c>
      <c r="O26">
        <v>0.74</v>
      </c>
      <c r="P26">
        <v>2.2599999999999998</v>
      </c>
      <c r="Q26">
        <v>1.43</v>
      </c>
      <c r="R26">
        <v>178.4</v>
      </c>
      <c r="S26">
        <v>1.9</v>
      </c>
      <c r="T26">
        <v>143436</v>
      </c>
      <c r="U26">
        <v>2.7</v>
      </c>
      <c r="V26">
        <v>17.940000000000001</v>
      </c>
      <c r="W26">
        <v>26.65</v>
      </c>
      <c r="X26">
        <v>27.11</v>
      </c>
      <c r="Y26">
        <v>27.5</v>
      </c>
      <c r="Z26">
        <v>27.3</v>
      </c>
      <c r="AA26">
        <v>1.84</v>
      </c>
    </row>
    <row r="27" spans="1:27" x14ac:dyDescent="0.25">
      <c r="A27" s="6">
        <v>3</v>
      </c>
      <c r="B27" s="6">
        <v>26</v>
      </c>
      <c r="C27" s="6">
        <v>0</v>
      </c>
      <c r="D27" s="3">
        <f>6341039+2071811</f>
        <v>8412850</v>
      </c>
      <c r="E27" s="3">
        <v>32</v>
      </c>
      <c r="F27" s="3">
        <v>85.81</v>
      </c>
      <c r="G27" s="3">
        <v>52</v>
      </c>
      <c r="H27" s="3">
        <v>44.3</v>
      </c>
      <c r="I27" s="3">
        <v>3.2</v>
      </c>
      <c r="J27">
        <v>0.4</v>
      </c>
      <c r="L27">
        <f t="shared" si="0"/>
        <v>9.9999999999994316E-2</v>
      </c>
      <c r="M27">
        <v>1.91</v>
      </c>
      <c r="N27">
        <v>1.33</v>
      </c>
      <c r="O27">
        <v>1.07</v>
      </c>
      <c r="P27">
        <v>2.39</v>
      </c>
      <c r="Q27">
        <v>1.56</v>
      </c>
      <c r="R27">
        <v>194.2</v>
      </c>
      <c r="S27">
        <v>3</v>
      </c>
      <c r="T27">
        <v>121876</v>
      </c>
      <c r="U27">
        <v>3.3</v>
      </c>
      <c r="V27">
        <v>17.850000000000001</v>
      </c>
      <c r="W27">
        <v>25.04</v>
      </c>
      <c r="X27">
        <v>26.82</v>
      </c>
      <c r="Y27">
        <v>27.15</v>
      </c>
      <c r="Z27">
        <v>26.96</v>
      </c>
      <c r="AA27">
        <v>2.48</v>
      </c>
    </row>
    <row r="28" spans="1:27" x14ac:dyDescent="0.25">
      <c r="A28" s="34">
        <v>11</v>
      </c>
      <c r="B28" s="34">
        <v>27</v>
      </c>
      <c r="C28" s="34">
        <v>50</v>
      </c>
      <c r="D28" s="3">
        <v>20277265</v>
      </c>
      <c r="E28" s="3">
        <v>29</v>
      </c>
      <c r="F28" s="3">
        <v>82.6</v>
      </c>
      <c r="G28" s="3">
        <v>42.8</v>
      </c>
      <c r="H28" s="3">
        <v>38.6</v>
      </c>
      <c r="I28" s="3">
        <v>1.1000000000000001</v>
      </c>
      <c r="J28">
        <v>0.3</v>
      </c>
      <c r="L28">
        <f t="shared" si="0"/>
        <v>17.200000000000003</v>
      </c>
      <c r="M28">
        <v>2.44</v>
      </c>
      <c r="N28">
        <v>2.0099999999999998</v>
      </c>
      <c r="O28">
        <v>1.19</v>
      </c>
      <c r="P28">
        <v>3.31</v>
      </c>
      <c r="Q28">
        <v>1.87</v>
      </c>
      <c r="R28">
        <v>1675</v>
      </c>
      <c r="S28">
        <v>1.4</v>
      </c>
      <c r="T28">
        <v>160295</v>
      </c>
      <c r="U28">
        <v>2</v>
      </c>
      <c r="V28">
        <v>17.71</v>
      </c>
      <c r="W28">
        <v>23.67</v>
      </c>
      <c r="X28">
        <v>26.12</v>
      </c>
      <c r="Y28">
        <v>26.42</v>
      </c>
      <c r="Z28">
        <v>26.25</v>
      </c>
      <c r="AA28">
        <v>3.85</v>
      </c>
    </row>
    <row r="29" spans="1:27" x14ac:dyDescent="0.25">
      <c r="A29" s="39">
        <v>1</v>
      </c>
      <c r="B29" s="39">
        <v>28</v>
      </c>
      <c r="C29" s="39">
        <v>50</v>
      </c>
      <c r="D29" s="3">
        <v>22438763</v>
      </c>
      <c r="E29" s="3">
        <v>35</v>
      </c>
      <c r="F29" s="3">
        <v>89.23</v>
      </c>
      <c r="G29" s="3">
        <v>45.6</v>
      </c>
      <c r="H29" s="3">
        <v>36.5</v>
      </c>
      <c r="I29" s="3">
        <v>1.6</v>
      </c>
      <c r="J29">
        <v>0.3</v>
      </c>
      <c r="L29">
        <f t="shared" si="0"/>
        <v>16.000000000000014</v>
      </c>
      <c r="M29">
        <v>2.3199999999999998</v>
      </c>
      <c r="N29">
        <v>1.1299999999999999</v>
      </c>
      <c r="O29">
        <v>0.82</v>
      </c>
      <c r="P29">
        <v>2.94</v>
      </c>
      <c r="Q29">
        <v>1.88</v>
      </c>
      <c r="R29">
        <v>77.2</v>
      </c>
      <c r="S29">
        <v>2.2000000000000002</v>
      </c>
      <c r="T29">
        <v>277683</v>
      </c>
      <c r="U29">
        <v>2.9</v>
      </c>
      <c r="V29">
        <v>17.75</v>
      </c>
      <c r="W29">
        <v>26.03</v>
      </c>
      <c r="X29">
        <v>26.41</v>
      </c>
      <c r="Y29">
        <v>26.79</v>
      </c>
      <c r="Z29">
        <v>26.58</v>
      </c>
      <c r="AA29">
        <v>2.5299999999999998</v>
      </c>
    </row>
    <row r="30" spans="1:27" x14ac:dyDescent="0.25">
      <c r="A30" s="18">
        <v>4</v>
      </c>
      <c r="B30" s="18">
        <v>29</v>
      </c>
      <c r="C30" s="18">
        <v>60</v>
      </c>
      <c r="D30" s="3">
        <v>32716954</v>
      </c>
      <c r="E30" s="3">
        <v>32</v>
      </c>
      <c r="F30" s="3">
        <v>84.47</v>
      </c>
      <c r="G30" s="3">
        <v>45.1</v>
      </c>
      <c r="H30" s="3">
        <v>42.6</v>
      </c>
      <c r="I30" s="3">
        <v>4.9000000000000004</v>
      </c>
      <c r="J30">
        <v>0.6</v>
      </c>
      <c r="L30">
        <f t="shared" si="0"/>
        <v>6.7999999999999972</v>
      </c>
      <c r="M30">
        <v>1.57</v>
      </c>
      <c r="N30">
        <v>1.26</v>
      </c>
      <c r="O30">
        <v>1.1599999999999999</v>
      </c>
      <c r="P30">
        <v>2.0499999999999998</v>
      </c>
      <c r="Q30">
        <v>1.2</v>
      </c>
      <c r="R30">
        <v>33.450000000000003</v>
      </c>
      <c r="S30">
        <v>5.8</v>
      </c>
      <c r="T30">
        <v>844097</v>
      </c>
      <c r="U30">
        <v>6.1</v>
      </c>
      <c r="V30">
        <v>17.62</v>
      </c>
      <c r="W30">
        <v>25.05</v>
      </c>
      <c r="X30">
        <v>27.15</v>
      </c>
      <c r="Y30">
        <v>27.56</v>
      </c>
      <c r="Z30">
        <v>27.3</v>
      </c>
      <c r="AA30">
        <v>3.93</v>
      </c>
    </row>
    <row r="31" spans="1:27" x14ac:dyDescent="0.25">
      <c r="A31" s="28">
        <v>8</v>
      </c>
      <c r="B31" s="28">
        <v>30</v>
      </c>
      <c r="C31" s="28">
        <v>60</v>
      </c>
      <c r="D31" s="3">
        <v>14915986</v>
      </c>
      <c r="E31" s="3">
        <v>29</v>
      </c>
      <c r="F31" s="3">
        <v>82.46</v>
      </c>
      <c r="G31" s="3">
        <v>39.4</v>
      </c>
      <c r="H31" s="3">
        <v>35.700000000000003</v>
      </c>
      <c r="I31" s="3">
        <v>2.9</v>
      </c>
      <c r="J31">
        <v>0.5</v>
      </c>
      <c r="L31">
        <f t="shared" si="0"/>
        <v>21.5</v>
      </c>
      <c r="M31">
        <v>1.73</v>
      </c>
      <c r="N31">
        <v>1.52</v>
      </c>
      <c r="O31">
        <v>1.1000000000000001</v>
      </c>
      <c r="P31">
        <v>2.23</v>
      </c>
      <c r="Q31">
        <v>1.38</v>
      </c>
      <c r="R31">
        <v>51.62</v>
      </c>
      <c r="S31">
        <v>3.5</v>
      </c>
      <c r="T31">
        <v>254015</v>
      </c>
      <c r="U31">
        <v>4.8</v>
      </c>
      <c r="V31">
        <v>17.440000000000001</v>
      </c>
      <c r="W31">
        <v>24.34</v>
      </c>
      <c r="X31">
        <v>26.66</v>
      </c>
      <c r="Y31">
        <v>26.86</v>
      </c>
      <c r="Z31">
        <v>26.71</v>
      </c>
      <c r="AA31">
        <v>4.71</v>
      </c>
    </row>
    <row r="32" spans="1:27" x14ac:dyDescent="0.25">
      <c r="A32" s="7">
        <v>2</v>
      </c>
      <c r="B32" s="7">
        <v>31</v>
      </c>
      <c r="C32" s="7">
        <v>75</v>
      </c>
      <c r="D32" s="3">
        <v>11987351</v>
      </c>
      <c r="E32" s="3">
        <v>31</v>
      </c>
      <c r="F32" s="3">
        <v>84.47</v>
      </c>
      <c r="G32" s="3">
        <v>36.4</v>
      </c>
      <c r="H32" s="3">
        <v>39.9</v>
      </c>
      <c r="I32" s="3">
        <v>16</v>
      </c>
      <c r="J32">
        <v>1.3</v>
      </c>
      <c r="L32">
        <f t="shared" si="0"/>
        <v>6.4000000000000057</v>
      </c>
      <c r="M32">
        <v>0.88</v>
      </c>
      <c r="N32">
        <v>1.35</v>
      </c>
      <c r="O32">
        <v>1.35</v>
      </c>
      <c r="P32">
        <v>0.97</v>
      </c>
      <c r="Q32">
        <v>0.78</v>
      </c>
      <c r="R32">
        <v>19.809999999999999</v>
      </c>
      <c r="S32">
        <v>19.7</v>
      </c>
      <c r="T32">
        <v>806625</v>
      </c>
      <c r="U32">
        <v>16.899999999999999</v>
      </c>
      <c r="V32">
        <v>17.8</v>
      </c>
      <c r="W32">
        <v>24.08</v>
      </c>
      <c r="X32">
        <v>28.12</v>
      </c>
      <c r="Y32">
        <v>28.08</v>
      </c>
      <c r="Z32">
        <v>27.87</v>
      </c>
      <c r="AA32">
        <v>6.32</v>
      </c>
    </row>
    <row r="33" spans="1:27" x14ac:dyDescent="0.25">
      <c r="A33" s="23">
        <v>8</v>
      </c>
      <c r="B33" s="23">
        <v>32</v>
      </c>
      <c r="C33" s="23">
        <v>75</v>
      </c>
      <c r="D33" s="3">
        <v>25142157</v>
      </c>
      <c r="E33" s="3">
        <v>29</v>
      </c>
      <c r="F33" s="3">
        <v>83.21</v>
      </c>
      <c r="G33" s="3">
        <v>38.4</v>
      </c>
      <c r="H33" s="3">
        <v>39.200000000000003</v>
      </c>
      <c r="I33" s="3">
        <v>15.9</v>
      </c>
      <c r="J33">
        <v>1.4</v>
      </c>
      <c r="L33">
        <f t="shared" si="0"/>
        <v>5.0999999999999943</v>
      </c>
      <c r="M33">
        <v>0.82</v>
      </c>
      <c r="N33">
        <v>1.77</v>
      </c>
      <c r="O33">
        <v>1.88</v>
      </c>
      <c r="P33">
        <v>0.96</v>
      </c>
      <c r="Q33">
        <v>0.68</v>
      </c>
      <c r="R33">
        <v>12.48</v>
      </c>
      <c r="S33">
        <v>17.399999999999999</v>
      </c>
      <c r="T33">
        <v>1631721</v>
      </c>
      <c r="U33">
        <v>16.5</v>
      </c>
      <c r="V33">
        <v>17.8</v>
      </c>
      <c r="W33">
        <v>22.87</v>
      </c>
      <c r="X33">
        <v>27.81</v>
      </c>
      <c r="Y33">
        <v>28.09</v>
      </c>
      <c r="Z33">
        <v>27.66</v>
      </c>
      <c r="AA33">
        <v>7.21</v>
      </c>
    </row>
    <row r="34" spans="1:27" x14ac:dyDescent="0.25">
      <c r="A34" s="24">
        <v>6</v>
      </c>
      <c r="B34" s="24">
        <v>33</v>
      </c>
      <c r="C34" s="24">
        <v>0</v>
      </c>
      <c r="D34" s="3">
        <f>2498584+780668</f>
        <v>3279252</v>
      </c>
      <c r="E34" s="3">
        <v>27</v>
      </c>
      <c r="F34" s="3">
        <v>67.66</v>
      </c>
      <c r="G34" s="3">
        <v>30.3</v>
      </c>
      <c r="H34" s="3">
        <v>25.3</v>
      </c>
      <c r="I34" s="3">
        <v>3.5</v>
      </c>
      <c r="J34">
        <v>1.1000000000000001</v>
      </c>
      <c r="L34">
        <f t="shared" si="0"/>
        <v>39.799999999999997</v>
      </c>
      <c r="M34">
        <v>2.08</v>
      </c>
      <c r="N34">
        <v>1.53</v>
      </c>
      <c r="O34">
        <v>1.48</v>
      </c>
      <c r="P34">
        <v>2.44</v>
      </c>
      <c r="Q34">
        <v>1.81</v>
      </c>
      <c r="R34">
        <v>37.33</v>
      </c>
      <c r="S34">
        <v>5.5</v>
      </c>
      <c r="T34">
        <v>24489</v>
      </c>
      <c r="U34">
        <v>6.1</v>
      </c>
      <c r="V34">
        <v>17.48</v>
      </c>
      <c r="W34">
        <v>19.55</v>
      </c>
      <c r="X34">
        <v>26.45</v>
      </c>
      <c r="Y34">
        <v>26.63</v>
      </c>
      <c r="Z34">
        <v>26.39</v>
      </c>
      <c r="AA34">
        <v>6.41</v>
      </c>
    </row>
    <row r="35" spans="1:27" x14ac:dyDescent="0.25">
      <c r="A35" s="29">
        <v>9</v>
      </c>
      <c r="B35" s="29">
        <v>34</v>
      </c>
      <c r="C35" s="29">
        <v>0</v>
      </c>
      <c r="D35" s="3">
        <v>10040927</v>
      </c>
      <c r="E35" s="3">
        <v>29</v>
      </c>
      <c r="F35" s="3">
        <v>81.09</v>
      </c>
      <c r="G35" s="3">
        <v>43.9</v>
      </c>
      <c r="H35" s="3">
        <v>33.9</v>
      </c>
      <c r="I35" s="3">
        <v>1.1000000000000001</v>
      </c>
      <c r="J35">
        <v>0.2</v>
      </c>
      <c r="L35">
        <f t="shared" si="0"/>
        <v>20.900000000000006</v>
      </c>
      <c r="M35">
        <v>1.98</v>
      </c>
      <c r="N35">
        <v>1.67</v>
      </c>
      <c r="O35">
        <v>1.1399999999999999</v>
      </c>
      <c r="P35">
        <v>2.97</v>
      </c>
      <c r="Q35">
        <v>1.48</v>
      </c>
      <c r="R35" t="s">
        <v>98</v>
      </c>
      <c r="S35">
        <v>1.4</v>
      </c>
      <c r="T35">
        <v>68748</v>
      </c>
      <c r="U35">
        <v>2</v>
      </c>
      <c r="V35">
        <v>17.66</v>
      </c>
      <c r="W35">
        <v>23.76</v>
      </c>
      <c r="X35">
        <v>23.76</v>
      </c>
      <c r="Y35">
        <v>26.48</v>
      </c>
      <c r="Z35">
        <v>26.29</v>
      </c>
      <c r="AA35">
        <v>3.21</v>
      </c>
    </row>
    <row r="36" spans="1:27" x14ac:dyDescent="0.25">
      <c r="A36" s="11">
        <v>7</v>
      </c>
      <c r="B36" s="11">
        <v>35</v>
      </c>
      <c r="C36" s="11">
        <v>50</v>
      </c>
      <c r="D36" s="3">
        <v>13673777</v>
      </c>
      <c r="E36" s="3">
        <v>29</v>
      </c>
      <c r="F36" s="3">
        <v>82.4</v>
      </c>
      <c r="G36" s="3">
        <v>43.3</v>
      </c>
      <c r="H36" s="3">
        <v>36.200000000000003</v>
      </c>
      <c r="I36" s="3">
        <v>2.6</v>
      </c>
      <c r="J36">
        <v>0.5</v>
      </c>
      <c r="L36">
        <f t="shared" si="0"/>
        <v>17.400000000000006</v>
      </c>
      <c r="M36">
        <v>1.73</v>
      </c>
      <c r="N36">
        <v>1.87</v>
      </c>
      <c r="O36">
        <v>1.08</v>
      </c>
      <c r="P36">
        <v>2.2599999999999998</v>
      </c>
      <c r="Q36">
        <v>1.39</v>
      </c>
      <c r="R36">
        <v>88.08</v>
      </c>
      <c r="S36">
        <v>3.2</v>
      </c>
      <c r="T36">
        <v>187697</v>
      </c>
      <c r="U36">
        <v>3.8</v>
      </c>
      <c r="V36">
        <v>17.55</v>
      </c>
      <c r="W36">
        <v>23.34</v>
      </c>
      <c r="X36">
        <v>26.5</v>
      </c>
      <c r="Y36">
        <v>26.68</v>
      </c>
      <c r="Z36">
        <v>26.56</v>
      </c>
      <c r="AA36">
        <v>3.95</v>
      </c>
    </row>
    <row r="37" spans="1:27" x14ac:dyDescent="0.25">
      <c r="A37" s="21">
        <v>5</v>
      </c>
      <c r="B37" s="21">
        <v>36</v>
      </c>
      <c r="C37" s="21">
        <v>50</v>
      </c>
      <c r="D37" s="3">
        <v>5840713</v>
      </c>
      <c r="E37" s="3">
        <v>33</v>
      </c>
      <c r="F37" s="3">
        <v>79.2</v>
      </c>
      <c r="G37" s="3">
        <v>34.1</v>
      </c>
      <c r="H37" s="3">
        <v>30.7</v>
      </c>
      <c r="I37" s="3">
        <v>5</v>
      </c>
      <c r="J37">
        <v>1.1000000000000001</v>
      </c>
      <c r="L37">
        <f t="shared" si="0"/>
        <v>29.100000000000009</v>
      </c>
      <c r="M37">
        <v>1.27</v>
      </c>
      <c r="N37">
        <v>0.94</v>
      </c>
      <c r="O37">
        <v>0.83</v>
      </c>
      <c r="P37">
        <v>1.78</v>
      </c>
      <c r="Q37">
        <v>0.94</v>
      </c>
      <c r="R37">
        <v>42.88</v>
      </c>
      <c r="S37">
        <v>8.9</v>
      </c>
      <c r="T37">
        <v>152915</v>
      </c>
      <c r="U37">
        <v>8.5</v>
      </c>
      <c r="V37">
        <v>17.52</v>
      </c>
      <c r="W37">
        <v>28.14</v>
      </c>
      <c r="X37">
        <v>27.48</v>
      </c>
      <c r="Y37">
        <v>27.76</v>
      </c>
      <c r="Z37">
        <v>27.59</v>
      </c>
      <c r="AA37">
        <v>3.87</v>
      </c>
    </row>
    <row r="38" spans="1:27" x14ac:dyDescent="0.25">
      <c r="A38" s="12">
        <v>3</v>
      </c>
      <c r="B38" s="12">
        <v>38</v>
      </c>
      <c r="C38" s="12">
        <v>60</v>
      </c>
      <c r="D38" s="3">
        <v>35247019</v>
      </c>
      <c r="E38" s="3">
        <v>33</v>
      </c>
      <c r="F38" s="3">
        <v>85.78</v>
      </c>
      <c r="G38" s="3">
        <v>36.1</v>
      </c>
      <c r="H38" s="3">
        <v>41.7</v>
      </c>
      <c r="I38" s="3">
        <v>56</v>
      </c>
      <c r="J38">
        <v>1.8</v>
      </c>
      <c r="L38">
        <f t="shared" si="0"/>
        <v>-35.600000000000023</v>
      </c>
      <c r="M38">
        <v>0.76</v>
      </c>
      <c r="N38">
        <v>1.33</v>
      </c>
      <c r="O38">
        <v>1.55</v>
      </c>
      <c r="P38">
        <v>0.79</v>
      </c>
      <c r="Q38">
        <v>0.72</v>
      </c>
      <c r="R38">
        <v>15.08</v>
      </c>
      <c r="S38">
        <v>31.6</v>
      </c>
      <c r="T38">
        <v>2894066</v>
      </c>
      <c r="U38">
        <v>19.7</v>
      </c>
      <c r="V38">
        <v>18.11</v>
      </c>
      <c r="W38">
        <v>23.07</v>
      </c>
      <c r="X38">
        <v>28.63</v>
      </c>
      <c r="Y38">
        <v>28.26</v>
      </c>
      <c r="Z38">
        <v>28.08</v>
      </c>
      <c r="AA38">
        <v>6.57</v>
      </c>
    </row>
    <row r="39" spans="1:27" x14ac:dyDescent="0.25">
      <c r="A39" s="8">
        <v>12</v>
      </c>
      <c r="B39" s="8">
        <v>39</v>
      </c>
      <c r="C39" s="8">
        <v>75</v>
      </c>
      <c r="D39" s="3">
        <v>8042808</v>
      </c>
      <c r="E39" s="3">
        <v>27</v>
      </c>
      <c r="F39" s="3">
        <v>77.989999999999995</v>
      </c>
      <c r="G39" s="3">
        <v>33.4</v>
      </c>
      <c r="H39" s="3">
        <v>32.200000000000003</v>
      </c>
      <c r="I39" s="3">
        <v>12.6</v>
      </c>
      <c r="J39">
        <v>1.4</v>
      </c>
      <c r="L39">
        <f t="shared" si="0"/>
        <v>20.400000000000006</v>
      </c>
      <c r="M39">
        <v>0.83</v>
      </c>
      <c r="N39">
        <v>2.17</v>
      </c>
      <c r="O39">
        <v>2.1800000000000002</v>
      </c>
      <c r="P39">
        <v>1.01</v>
      </c>
      <c r="Q39">
        <v>0.69</v>
      </c>
      <c r="R39">
        <v>70.5</v>
      </c>
      <c r="S39">
        <v>16.2</v>
      </c>
      <c r="T39">
        <v>438561</v>
      </c>
      <c r="U39">
        <v>16.899999999999999</v>
      </c>
      <c r="V39">
        <v>17.39</v>
      </c>
      <c r="W39">
        <v>22.37</v>
      </c>
      <c r="X39">
        <v>27.3</v>
      </c>
      <c r="Y39">
        <v>27.68</v>
      </c>
      <c r="Z39">
        <v>27.28</v>
      </c>
      <c r="AA39">
        <v>7.89</v>
      </c>
    </row>
    <row r="40" spans="1:27" x14ac:dyDescent="0.25">
      <c r="A40" s="19">
        <v>4</v>
      </c>
      <c r="B40" s="19">
        <v>40</v>
      </c>
      <c r="C40" s="19">
        <v>75</v>
      </c>
      <c r="D40" s="3">
        <v>8176488</v>
      </c>
      <c r="E40" s="3">
        <v>35</v>
      </c>
      <c r="F40" s="3">
        <v>81.23</v>
      </c>
      <c r="G40" s="3">
        <v>35.1</v>
      </c>
      <c r="H40" s="3">
        <v>36.700000000000003</v>
      </c>
      <c r="I40" s="3">
        <v>17</v>
      </c>
      <c r="J40">
        <v>1.2</v>
      </c>
      <c r="L40">
        <f t="shared" si="0"/>
        <v>9.9999999999999858</v>
      </c>
      <c r="M40">
        <v>0.87</v>
      </c>
      <c r="N40">
        <v>1.37</v>
      </c>
      <c r="O40">
        <v>1.46</v>
      </c>
      <c r="P40">
        <v>0.83</v>
      </c>
      <c r="Q40">
        <v>0.56000000000000005</v>
      </c>
      <c r="R40">
        <v>35.840000000000003</v>
      </c>
      <c r="S40">
        <v>26.4</v>
      </c>
      <c r="T40">
        <v>590182</v>
      </c>
      <c r="U40">
        <v>19.7</v>
      </c>
      <c r="V40">
        <v>17.649999999999999</v>
      </c>
      <c r="W40">
        <v>24.07</v>
      </c>
      <c r="X40">
        <v>24.07</v>
      </c>
      <c r="Y40">
        <v>28.67</v>
      </c>
      <c r="Z40">
        <v>26.05</v>
      </c>
      <c r="AA40">
        <v>5.46</v>
      </c>
    </row>
    <row r="41" spans="1:27" x14ac:dyDescent="0.25">
      <c r="D41" s="38">
        <f t="shared" ref="D41:J41" si="1">AVERAGE(D2:D40)</f>
        <v>15789607.76923077</v>
      </c>
      <c r="E41" s="38">
        <f t="shared" si="1"/>
        <v>30.5</v>
      </c>
      <c r="F41" s="38">
        <f t="shared" si="1"/>
        <v>82.598461538461535</v>
      </c>
      <c r="G41" s="38">
        <f t="shared" si="1"/>
        <v>41.679487179487182</v>
      </c>
      <c r="H41">
        <f t="shared" si="1"/>
        <v>38.102564102564116</v>
      </c>
      <c r="I41">
        <f t="shared" si="1"/>
        <v>7.7230769230769241</v>
      </c>
      <c r="J41">
        <f t="shared" si="1"/>
        <v>0.71025641025641029</v>
      </c>
      <c r="L41">
        <f>AVERAGE(L2:L40)</f>
        <v>11.784615384615382</v>
      </c>
    </row>
    <row r="42" spans="1:27" x14ac:dyDescent="0.25">
      <c r="A42" s="41"/>
      <c r="B42" s="41" t="s">
        <v>41</v>
      </c>
    </row>
    <row r="44" spans="1:27" x14ac:dyDescent="0.25">
      <c r="A44" s="42" t="s">
        <v>39</v>
      </c>
      <c r="B44" s="42" t="s">
        <v>40</v>
      </c>
      <c r="C44" s="1" t="s">
        <v>100</v>
      </c>
      <c r="D44" s="1" t="s">
        <v>99</v>
      </c>
    </row>
    <row r="45" spans="1:27" x14ac:dyDescent="0.25">
      <c r="A45" s="4">
        <v>1</v>
      </c>
      <c r="B45" s="4">
        <v>0</v>
      </c>
      <c r="C45">
        <v>1</v>
      </c>
      <c r="D45">
        <v>0.3</v>
      </c>
    </row>
    <row r="46" spans="1:27" x14ac:dyDescent="0.25">
      <c r="A46" s="8">
        <v>2</v>
      </c>
      <c r="B46" s="8">
        <v>0</v>
      </c>
      <c r="C46">
        <v>0.4</v>
      </c>
      <c r="D46">
        <v>0.2</v>
      </c>
    </row>
    <row r="47" spans="1:27" x14ac:dyDescent="0.25">
      <c r="A47" s="30">
        <v>3</v>
      </c>
      <c r="B47" s="30">
        <v>50</v>
      </c>
      <c r="C47">
        <v>0.5</v>
      </c>
      <c r="D47">
        <v>0.2</v>
      </c>
    </row>
    <row r="48" spans="1:27" x14ac:dyDescent="0.25">
      <c r="A48" s="35">
        <v>4</v>
      </c>
      <c r="B48" s="35">
        <v>50</v>
      </c>
      <c r="C48">
        <v>1.2</v>
      </c>
      <c r="D48">
        <v>0.3</v>
      </c>
    </row>
    <row r="49" spans="1:4" x14ac:dyDescent="0.25">
      <c r="A49" s="14">
        <v>5</v>
      </c>
      <c r="B49" s="14">
        <v>60</v>
      </c>
      <c r="C49">
        <v>5.6</v>
      </c>
      <c r="D49">
        <v>0.7</v>
      </c>
    </row>
    <row r="50" spans="1:4" x14ac:dyDescent="0.25">
      <c r="A50" s="24">
        <v>6</v>
      </c>
      <c r="B50" s="24">
        <v>60</v>
      </c>
      <c r="C50">
        <v>2.9</v>
      </c>
      <c r="D50">
        <v>0.4</v>
      </c>
    </row>
    <row r="51" spans="1:4" x14ac:dyDescent="0.25">
      <c r="A51" s="33">
        <v>7</v>
      </c>
      <c r="B51" s="33">
        <v>75</v>
      </c>
      <c r="C51" s="3">
        <v>33</v>
      </c>
      <c r="D51">
        <v>1.8</v>
      </c>
    </row>
    <row r="52" spans="1:4" x14ac:dyDescent="0.25">
      <c r="A52" s="2">
        <v>8</v>
      </c>
      <c r="B52" s="2">
        <v>75</v>
      </c>
      <c r="C52" s="3">
        <v>13.2</v>
      </c>
      <c r="D52">
        <v>0.9</v>
      </c>
    </row>
    <row r="53" spans="1:4" x14ac:dyDescent="0.25">
      <c r="A53" s="26">
        <v>9</v>
      </c>
      <c r="B53" s="26">
        <v>0</v>
      </c>
      <c r="C53" s="3">
        <v>1.3</v>
      </c>
      <c r="D53">
        <v>0.4</v>
      </c>
    </row>
    <row r="54" spans="1:4" x14ac:dyDescent="0.25">
      <c r="A54" s="20">
        <v>10</v>
      </c>
      <c r="B54" s="20">
        <v>0</v>
      </c>
      <c r="C54" s="3">
        <v>0.5</v>
      </c>
      <c r="D54">
        <v>0.2</v>
      </c>
    </row>
    <row r="55" spans="1:4" x14ac:dyDescent="0.25">
      <c r="A55" s="6">
        <v>11</v>
      </c>
      <c r="B55" s="6">
        <v>50</v>
      </c>
      <c r="C55" s="3">
        <v>1.8</v>
      </c>
      <c r="D55">
        <v>0.3</v>
      </c>
    </row>
    <row r="56" spans="1:4" x14ac:dyDescent="0.25">
      <c r="A56" s="36">
        <v>12</v>
      </c>
      <c r="B56" s="36">
        <v>50</v>
      </c>
      <c r="C56" s="3">
        <v>3.1</v>
      </c>
      <c r="D56">
        <v>0.5</v>
      </c>
    </row>
    <row r="57" spans="1:4" x14ac:dyDescent="0.25">
      <c r="A57" s="33">
        <v>13</v>
      </c>
      <c r="B57" s="33">
        <v>60</v>
      </c>
      <c r="C57" s="3">
        <v>1.3</v>
      </c>
      <c r="D57">
        <v>0.2</v>
      </c>
    </row>
    <row r="58" spans="1:4" x14ac:dyDescent="0.25">
      <c r="A58" s="8">
        <v>14</v>
      </c>
      <c r="B58" s="8">
        <v>60</v>
      </c>
      <c r="C58" s="3">
        <v>11.5</v>
      </c>
      <c r="D58">
        <v>1</v>
      </c>
    </row>
    <row r="59" spans="1:4" x14ac:dyDescent="0.25">
      <c r="A59" s="26">
        <v>15</v>
      </c>
      <c r="B59" s="26">
        <v>75</v>
      </c>
      <c r="C59" s="3">
        <v>16.7</v>
      </c>
      <c r="D59">
        <v>1.2</v>
      </c>
    </row>
    <row r="60" spans="1:4" x14ac:dyDescent="0.25">
      <c r="A60" s="29">
        <v>16</v>
      </c>
      <c r="B60" s="29">
        <v>75</v>
      </c>
      <c r="C60" s="3">
        <v>5.0999999999999996</v>
      </c>
      <c r="D60">
        <v>0.6</v>
      </c>
    </row>
    <row r="61" spans="1:4" x14ac:dyDescent="0.25">
      <c r="A61" s="17">
        <v>17</v>
      </c>
      <c r="B61" s="17">
        <v>0</v>
      </c>
      <c r="C61" s="3">
        <v>0.9</v>
      </c>
      <c r="D61">
        <v>0.2</v>
      </c>
    </row>
    <row r="62" spans="1:4" x14ac:dyDescent="0.25">
      <c r="A62" s="28">
        <v>18</v>
      </c>
      <c r="B62" s="28">
        <v>0</v>
      </c>
      <c r="C62" s="3">
        <v>0.8</v>
      </c>
      <c r="D62">
        <v>0.2</v>
      </c>
    </row>
    <row r="63" spans="1:4" x14ac:dyDescent="0.25">
      <c r="A63" s="7">
        <v>19</v>
      </c>
      <c r="B63" s="7">
        <v>50</v>
      </c>
      <c r="C63" s="3">
        <v>3.5</v>
      </c>
      <c r="D63">
        <v>0.5</v>
      </c>
    </row>
    <row r="64" spans="1:4" x14ac:dyDescent="0.25">
      <c r="A64" s="18">
        <v>20</v>
      </c>
      <c r="B64" s="18">
        <v>50</v>
      </c>
      <c r="C64" s="3">
        <v>3.5</v>
      </c>
      <c r="D64">
        <v>0.5</v>
      </c>
    </row>
    <row r="65" spans="1:4" x14ac:dyDescent="0.25">
      <c r="A65" s="21">
        <v>21</v>
      </c>
      <c r="B65" s="21">
        <v>60</v>
      </c>
      <c r="C65" s="3">
        <v>4.4000000000000004</v>
      </c>
      <c r="D65">
        <v>0.6</v>
      </c>
    </row>
    <row r="66" spans="1:4" x14ac:dyDescent="0.25">
      <c r="A66" s="39">
        <v>22</v>
      </c>
      <c r="B66" s="39">
        <v>60</v>
      </c>
      <c r="C66" s="3">
        <v>23.3</v>
      </c>
      <c r="D66">
        <v>2</v>
      </c>
    </row>
    <row r="67" spans="1:4" x14ac:dyDescent="0.25">
      <c r="A67" s="9">
        <v>23</v>
      </c>
      <c r="B67" s="9">
        <v>75</v>
      </c>
      <c r="C67" s="3">
        <v>14.1</v>
      </c>
      <c r="D67">
        <v>1.5</v>
      </c>
    </row>
    <row r="68" spans="1:4" x14ac:dyDescent="0.25">
      <c r="A68" s="32">
        <v>24</v>
      </c>
      <c r="B68" s="32">
        <v>75</v>
      </c>
      <c r="C68" s="3">
        <v>6.9</v>
      </c>
      <c r="D68">
        <v>0.7</v>
      </c>
    </row>
    <row r="69" spans="1:4" x14ac:dyDescent="0.25">
      <c r="A69" s="31">
        <v>25</v>
      </c>
      <c r="B69" s="31">
        <v>0</v>
      </c>
      <c r="C69" s="3">
        <v>1.3</v>
      </c>
      <c r="D69">
        <v>0.2</v>
      </c>
    </row>
    <row r="70" spans="1:4" x14ac:dyDescent="0.25">
      <c r="A70" s="6">
        <v>26</v>
      </c>
      <c r="B70" s="6">
        <v>0</v>
      </c>
      <c r="C70" s="3">
        <v>3.2</v>
      </c>
      <c r="D70">
        <v>0.4</v>
      </c>
    </row>
    <row r="71" spans="1:4" x14ac:dyDescent="0.25">
      <c r="A71" s="34">
        <v>27</v>
      </c>
      <c r="B71" s="34">
        <v>50</v>
      </c>
      <c r="C71" s="3">
        <v>1.1000000000000001</v>
      </c>
      <c r="D71">
        <v>0.3</v>
      </c>
    </row>
    <row r="72" spans="1:4" x14ac:dyDescent="0.25">
      <c r="A72" s="39">
        <v>28</v>
      </c>
      <c r="B72" s="39">
        <v>50</v>
      </c>
      <c r="C72" s="3">
        <v>1.6</v>
      </c>
      <c r="D72">
        <v>0.3</v>
      </c>
    </row>
    <row r="73" spans="1:4" x14ac:dyDescent="0.25">
      <c r="A73" s="18">
        <v>29</v>
      </c>
      <c r="B73" s="18">
        <v>60</v>
      </c>
      <c r="C73" s="3">
        <v>4.9000000000000004</v>
      </c>
      <c r="D73">
        <v>0.6</v>
      </c>
    </row>
    <row r="74" spans="1:4" x14ac:dyDescent="0.25">
      <c r="A74" s="28">
        <v>30</v>
      </c>
      <c r="B74" s="28">
        <v>60</v>
      </c>
      <c r="C74" s="3">
        <v>2.9</v>
      </c>
      <c r="D74">
        <v>0.5</v>
      </c>
    </row>
    <row r="75" spans="1:4" x14ac:dyDescent="0.25">
      <c r="A75" s="7">
        <v>31</v>
      </c>
      <c r="B75" s="7">
        <v>75</v>
      </c>
      <c r="C75" s="3">
        <v>16</v>
      </c>
      <c r="D75">
        <v>1.3</v>
      </c>
    </row>
    <row r="76" spans="1:4" x14ac:dyDescent="0.25">
      <c r="A76" s="23">
        <v>32</v>
      </c>
      <c r="B76" s="23">
        <v>75</v>
      </c>
      <c r="C76" s="3">
        <v>15.9</v>
      </c>
      <c r="D76">
        <v>1.4</v>
      </c>
    </row>
    <row r="77" spans="1:4" x14ac:dyDescent="0.25">
      <c r="A77" s="24">
        <v>33</v>
      </c>
      <c r="B77" s="24">
        <v>0</v>
      </c>
      <c r="C77" s="3">
        <v>3.5</v>
      </c>
      <c r="D77">
        <v>1.1000000000000001</v>
      </c>
    </row>
    <row r="78" spans="1:4" x14ac:dyDescent="0.25">
      <c r="A78" s="29">
        <v>34</v>
      </c>
      <c r="B78" s="29">
        <v>0</v>
      </c>
      <c r="C78" s="3">
        <v>1.1000000000000001</v>
      </c>
      <c r="D78">
        <v>0.2</v>
      </c>
    </row>
    <row r="79" spans="1:4" x14ac:dyDescent="0.25">
      <c r="A79" s="11">
        <v>35</v>
      </c>
      <c r="B79" s="11">
        <v>50</v>
      </c>
      <c r="C79" s="3">
        <v>2.6</v>
      </c>
      <c r="D79">
        <v>0.5</v>
      </c>
    </row>
    <row r="80" spans="1:4" x14ac:dyDescent="0.25">
      <c r="A80" s="21">
        <v>36</v>
      </c>
      <c r="B80" s="21">
        <v>50</v>
      </c>
      <c r="C80" s="3">
        <v>5</v>
      </c>
      <c r="D80">
        <v>1.1000000000000001</v>
      </c>
    </row>
    <row r="81" spans="1:4" x14ac:dyDescent="0.25">
      <c r="A81" s="12">
        <v>38</v>
      </c>
      <c r="B81" s="12">
        <v>60</v>
      </c>
      <c r="C81" s="3">
        <v>56</v>
      </c>
      <c r="D81">
        <v>1.8</v>
      </c>
    </row>
    <row r="82" spans="1:4" x14ac:dyDescent="0.25">
      <c r="A82" s="8">
        <v>39</v>
      </c>
      <c r="B82" s="8">
        <v>75</v>
      </c>
      <c r="C82" s="3">
        <v>12.6</v>
      </c>
      <c r="D82">
        <v>1.4</v>
      </c>
    </row>
    <row r="83" spans="1:4" x14ac:dyDescent="0.25">
      <c r="A83" s="19">
        <v>40</v>
      </c>
      <c r="B83" s="19">
        <v>75</v>
      </c>
      <c r="C83" s="3">
        <v>17</v>
      </c>
      <c r="D83">
        <v>1.2</v>
      </c>
    </row>
  </sheetData>
  <sortState ref="A2:Z40">
    <sortCondition ref="B2:B40"/>
  </sortState>
  <phoneticPr fontId="2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view="pageLayout" workbookViewId="0">
      <selection activeCell="C20" sqref="C20"/>
    </sheetView>
  </sheetViews>
  <sheetFormatPr defaultColWidth="10.85546875" defaultRowHeight="15" x14ac:dyDescent="0.25"/>
  <sheetData>
    <row r="1" spans="1:11" x14ac:dyDescent="0.25">
      <c r="A1" s="44" t="s">
        <v>39</v>
      </c>
      <c r="B1" s="44" t="s">
        <v>40</v>
      </c>
      <c r="C1" s="47" t="s">
        <v>109</v>
      </c>
      <c r="D1" s="47" t="s">
        <v>5</v>
      </c>
      <c r="E1" s="47" t="s">
        <v>105</v>
      </c>
      <c r="F1" s="47" t="s">
        <v>106</v>
      </c>
      <c r="G1" s="47"/>
      <c r="H1" s="47" t="s">
        <v>110</v>
      </c>
      <c r="I1" s="47" t="s">
        <v>111</v>
      </c>
      <c r="J1" s="47" t="s">
        <v>103</v>
      </c>
      <c r="K1" s="47" t="s">
        <v>104</v>
      </c>
    </row>
    <row r="2" spans="1:11" x14ac:dyDescent="0.25">
      <c r="A2" s="4">
        <v>1</v>
      </c>
      <c r="B2" s="4">
        <v>0</v>
      </c>
      <c r="C2">
        <v>0.7</v>
      </c>
      <c r="D2">
        <v>53.2</v>
      </c>
      <c r="E2">
        <v>0.5</v>
      </c>
      <c r="F2">
        <v>21.2</v>
      </c>
      <c r="J2">
        <v>1.77</v>
      </c>
      <c r="K2">
        <v>25.84</v>
      </c>
    </row>
    <row r="3" spans="1:11" x14ac:dyDescent="0.25">
      <c r="A3" s="8">
        <v>2</v>
      </c>
      <c r="B3" s="8">
        <v>0</v>
      </c>
      <c r="C3">
        <v>1</v>
      </c>
      <c r="D3">
        <v>62.1</v>
      </c>
      <c r="E3">
        <v>0.4</v>
      </c>
      <c r="F3">
        <v>13.3</v>
      </c>
      <c r="H3">
        <v>1.41</v>
      </c>
      <c r="I3">
        <v>25.13</v>
      </c>
      <c r="J3">
        <v>2.2400000000000002</v>
      </c>
      <c r="K3">
        <v>25.96</v>
      </c>
    </row>
    <row r="4" spans="1:11" x14ac:dyDescent="0.25">
      <c r="A4" s="13">
        <v>3</v>
      </c>
      <c r="B4" s="13">
        <v>50</v>
      </c>
      <c r="C4">
        <v>0.9</v>
      </c>
      <c r="D4">
        <v>59.3</v>
      </c>
      <c r="E4">
        <v>0.4</v>
      </c>
      <c r="F4">
        <v>15.6</v>
      </c>
      <c r="H4">
        <v>1.64</v>
      </c>
      <c r="I4">
        <v>25.06</v>
      </c>
      <c r="J4">
        <v>2.69</v>
      </c>
      <c r="K4">
        <v>25.8</v>
      </c>
    </row>
    <row r="5" spans="1:11" x14ac:dyDescent="0.25">
      <c r="A5" s="36">
        <v>4</v>
      </c>
      <c r="B5" s="36">
        <v>50</v>
      </c>
      <c r="C5">
        <v>0.8</v>
      </c>
      <c r="D5">
        <v>56.3</v>
      </c>
      <c r="E5">
        <v>0.6</v>
      </c>
      <c r="F5">
        <v>15.9</v>
      </c>
      <c r="H5">
        <v>1.1100000000000001</v>
      </c>
      <c r="I5">
        <v>25.68</v>
      </c>
      <c r="J5">
        <v>2.06</v>
      </c>
      <c r="K5">
        <v>26.34</v>
      </c>
    </row>
    <row r="6" spans="1:11" x14ac:dyDescent="0.25">
      <c r="A6" s="31">
        <v>5</v>
      </c>
      <c r="B6" s="31">
        <v>60</v>
      </c>
      <c r="C6">
        <v>0.9</v>
      </c>
      <c r="D6">
        <v>55.1</v>
      </c>
      <c r="E6">
        <v>1.3</v>
      </c>
      <c r="F6">
        <v>9.6999999999999993</v>
      </c>
      <c r="H6">
        <v>1.31</v>
      </c>
      <c r="I6">
        <v>24.29</v>
      </c>
      <c r="J6">
        <v>1.19</v>
      </c>
      <c r="K6">
        <v>27.03</v>
      </c>
    </row>
    <row r="7" spans="1:11" x14ac:dyDescent="0.25">
      <c r="A7" s="9">
        <v>6</v>
      </c>
      <c r="B7" s="9">
        <v>60</v>
      </c>
      <c r="C7">
        <v>1.5</v>
      </c>
      <c r="D7">
        <v>71.099999999999994</v>
      </c>
      <c r="E7">
        <v>0.8</v>
      </c>
      <c r="F7">
        <v>13.2</v>
      </c>
      <c r="H7">
        <v>0.97299999999999998</v>
      </c>
      <c r="I7">
        <v>27.56</v>
      </c>
      <c r="J7">
        <v>1.66</v>
      </c>
      <c r="K7">
        <v>27.78</v>
      </c>
    </row>
    <row r="8" spans="1:11" x14ac:dyDescent="0.25">
      <c r="A8" s="34">
        <v>7</v>
      </c>
      <c r="B8" s="34">
        <v>75</v>
      </c>
      <c r="C8">
        <v>1.1000000000000001</v>
      </c>
      <c r="D8">
        <v>26</v>
      </c>
      <c r="E8">
        <v>4.8</v>
      </c>
      <c r="F8">
        <v>9.1999999999999993</v>
      </c>
      <c r="H8">
        <v>1.71</v>
      </c>
      <c r="I8">
        <v>27.31</v>
      </c>
      <c r="J8">
        <v>1</v>
      </c>
      <c r="K8">
        <v>30</v>
      </c>
    </row>
    <row r="9" spans="1:11" x14ac:dyDescent="0.25">
      <c r="A9" s="39">
        <v>8</v>
      </c>
      <c r="B9" s="39">
        <v>75</v>
      </c>
      <c r="C9">
        <v>0.9</v>
      </c>
      <c r="D9">
        <v>53.5</v>
      </c>
      <c r="E9">
        <v>2</v>
      </c>
      <c r="F9">
        <v>11.2</v>
      </c>
      <c r="H9">
        <v>1.28</v>
      </c>
      <c r="I9">
        <v>25.65</v>
      </c>
      <c r="J9">
        <v>1.06</v>
      </c>
      <c r="K9">
        <v>27.72</v>
      </c>
    </row>
    <row r="10" spans="1:11" x14ac:dyDescent="0.25">
      <c r="A10" s="11">
        <v>9</v>
      </c>
      <c r="B10" s="11">
        <v>0</v>
      </c>
      <c r="C10">
        <v>0.7</v>
      </c>
      <c r="D10">
        <v>53.5</v>
      </c>
      <c r="E10">
        <v>0.6</v>
      </c>
      <c r="F10">
        <v>18.899999999999999</v>
      </c>
      <c r="H10">
        <v>1.65</v>
      </c>
      <c r="I10">
        <v>24.41</v>
      </c>
      <c r="J10">
        <v>2.54</v>
      </c>
      <c r="K10">
        <v>25.95</v>
      </c>
    </row>
    <row r="11" spans="1:11" x14ac:dyDescent="0.25">
      <c r="A11" s="21">
        <v>10</v>
      </c>
      <c r="B11" s="21">
        <v>0</v>
      </c>
      <c r="C11">
        <v>0.8</v>
      </c>
      <c r="D11">
        <v>63.6</v>
      </c>
      <c r="E11">
        <v>0.3</v>
      </c>
      <c r="F11">
        <v>13.4</v>
      </c>
      <c r="H11">
        <v>1.93</v>
      </c>
      <c r="I11">
        <v>25.13</v>
      </c>
      <c r="J11">
        <v>1.92</v>
      </c>
      <c r="K11">
        <v>26.08</v>
      </c>
    </row>
    <row r="12" spans="1:11" x14ac:dyDescent="0.25">
      <c r="A12" s="12">
        <v>11</v>
      </c>
      <c r="B12" s="12">
        <v>50</v>
      </c>
      <c r="C12">
        <v>0.9</v>
      </c>
      <c r="D12">
        <v>64.7</v>
      </c>
      <c r="E12">
        <v>0.7</v>
      </c>
      <c r="F12">
        <v>17.899999999999999</v>
      </c>
      <c r="H12">
        <v>1.33</v>
      </c>
      <c r="I12">
        <v>26.27</v>
      </c>
      <c r="J12">
        <v>2.0499999999999998</v>
      </c>
      <c r="K12">
        <v>26.75</v>
      </c>
    </row>
    <row r="13" spans="1:11" x14ac:dyDescent="0.25">
      <c r="A13" s="17">
        <v>12</v>
      </c>
      <c r="B13" s="17">
        <v>50</v>
      </c>
      <c r="C13">
        <v>0.9</v>
      </c>
      <c r="D13">
        <v>58.1</v>
      </c>
      <c r="E13">
        <v>0.9</v>
      </c>
      <c r="F13">
        <v>14.1</v>
      </c>
      <c r="H13">
        <v>1.73</v>
      </c>
      <c r="I13">
        <v>24.42</v>
      </c>
      <c r="J13">
        <v>1.59</v>
      </c>
      <c r="K13">
        <v>26.62</v>
      </c>
    </row>
    <row r="14" spans="1:11" x14ac:dyDescent="0.25">
      <c r="A14" s="34">
        <v>13</v>
      </c>
      <c r="B14" s="34">
        <v>60</v>
      </c>
      <c r="C14">
        <v>0.5</v>
      </c>
      <c r="D14">
        <v>42.1</v>
      </c>
      <c r="E14">
        <v>0.4</v>
      </c>
      <c r="F14">
        <v>35.700000000000003</v>
      </c>
      <c r="H14">
        <v>1.49</v>
      </c>
      <c r="I14">
        <v>26.61</v>
      </c>
      <c r="J14">
        <v>1.37</v>
      </c>
      <c r="K14">
        <v>27.11</v>
      </c>
    </row>
    <row r="15" spans="1:11" x14ac:dyDescent="0.25">
      <c r="A15" s="20">
        <v>14</v>
      </c>
      <c r="B15" s="20">
        <v>60</v>
      </c>
      <c r="C15">
        <v>0.8</v>
      </c>
      <c r="D15">
        <v>48.9</v>
      </c>
      <c r="E15">
        <v>2.1</v>
      </c>
      <c r="F15">
        <v>10.1</v>
      </c>
      <c r="H15">
        <v>1.62</v>
      </c>
      <c r="I15">
        <v>24.6</v>
      </c>
      <c r="J15">
        <v>1.02</v>
      </c>
      <c r="K15">
        <v>27.57</v>
      </c>
    </row>
    <row r="16" spans="1:11" x14ac:dyDescent="0.25">
      <c r="A16" s="11">
        <v>15</v>
      </c>
      <c r="B16" s="11">
        <v>75</v>
      </c>
      <c r="C16">
        <v>0.9</v>
      </c>
      <c r="D16">
        <v>47</v>
      </c>
      <c r="E16">
        <v>2.6</v>
      </c>
      <c r="F16">
        <v>11.8</v>
      </c>
      <c r="H16">
        <v>1.36</v>
      </c>
      <c r="I16">
        <v>25.49</v>
      </c>
      <c r="J16">
        <v>0.84</v>
      </c>
      <c r="K16">
        <v>27.98</v>
      </c>
    </row>
    <row r="17" spans="1:11" x14ac:dyDescent="0.25">
      <c r="A17" s="30">
        <v>16</v>
      </c>
      <c r="B17" s="30">
        <v>75</v>
      </c>
      <c r="C17">
        <v>0.7</v>
      </c>
      <c r="D17">
        <v>53.9</v>
      </c>
      <c r="E17">
        <v>1.2</v>
      </c>
      <c r="F17">
        <v>13.9</v>
      </c>
      <c r="H17">
        <v>1.49</v>
      </c>
      <c r="I17">
        <v>24.46</v>
      </c>
      <c r="J17">
        <v>1.24</v>
      </c>
      <c r="K17">
        <v>27.14</v>
      </c>
    </row>
    <row r="18" spans="1:11" x14ac:dyDescent="0.25">
      <c r="A18" s="35">
        <v>17</v>
      </c>
      <c r="B18" s="35">
        <v>0</v>
      </c>
      <c r="C18">
        <v>0.8</v>
      </c>
      <c r="D18">
        <v>57.3</v>
      </c>
      <c r="E18">
        <v>0.4</v>
      </c>
      <c r="F18">
        <v>21.5</v>
      </c>
      <c r="H18">
        <v>0.86</v>
      </c>
      <c r="I18">
        <v>26.77</v>
      </c>
      <c r="J18">
        <v>2.16</v>
      </c>
      <c r="K18">
        <v>26.52</v>
      </c>
    </row>
    <row r="19" spans="1:11" x14ac:dyDescent="0.25">
      <c r="A19" s="23">
        <v>18</v>
      </c>
      <c r="B19" s="23">
        <v>0</v>
      </c>
      <c r="C19">
        <v>0.8</v>
      </c>
      <c r="D19">
        <v>58</v>
      </c>
      <c r="E19">
        <v>0.4</v>
      </c>
      <c r="F19">
        <v>15.6</v>
      </c>
      <c r="H19">
        <v>1.47</v>
      </c>
      <c r="I19">
        <v>25.69</v>
      </c>
      <c r="J19">
        <v>2.25</v>
      </c>
      <c r="K19">
        <v>26.17</v>
      </c>
    </row>
    <row r="20" spans="1:11" x14ac:dyDescent="0.25">
      <c r="A20" s="10">
        <v>19</v>
      </c>
      <c r="B20" s="10">
        <v>50</v>
      </c>
      <c r="C20">
        <v>0.8</v>
      </c>
      <c r="D20">
        <v>57.3</v>
      </c>
      <c r="E20">
        <v>1</v>
      </c>
      <c r="F20">
        <v>15.1</v>
      </c>
      <c r="H20">
        <v>1.39</v>
      </c>
      <c r="I20">
        <v>25.12</v>
      </c>
      <c r="J20">
        <v>1.7</v>
      </c>
      <c r="K20">
        <v>26.83</v>
      </c>
    </row>
    <row r="21" spans="1:11" x14ac:dyDescent="0.25">
      <c r="A21" s="16">
        <v>20</v>
      </c>
      <c r="B21" s="16">
        <v>50</v>
      </c>
      <c r="C21">
        <v>0.8</v>
      </c>
      <c r="D21">
        <v>52.3</v>
      </c>
      <c r="E21">
        <v>0.9</v>
      </c>
      <c r="F21">
        <v>15.6</v>
      </c>
      <c r="H21">
        <v>1.33</v>
      </c>
      <c r="I21">
        <v>25.54</v>
      </c>
      <c r="J21">
        <v>1.6</v>
      </c>
      <c r="K21">
        <v>26.91</v>
      </c>
    </row>
    <row r="22" spans="1:11" x14ac:dyDescent="0.25">
      <c r="A22" s="8">
        <v>21</v>
      </c>
      <c r="B22" s="8">
        <v>60</v>
      </c>
      <c r="C22">
        <v>0.8</v>
      </c>
      <c r="D22">
        <v>53.6</v>
      </c>
      <c r="E22">
        <v>1.4</v>
      </c>
      <c r="F22">
        <v>16.600000000000001</v>
      </c>
      <c r="H22">
        <v>1.27</v>
      </c>
      <c r="I22">
        <v>25.72</v>
      </c>
      <c r="J22">
        <v>1.53</v>
      </c>
      <c r="K22">
        <v>27.14</v>
      </c>
    </row>
    <row r="23" spans="1:11" x14ac:dyDescent="0.25">
      <c r="A23" s="5">
        <v>22</v>
      </c>
      <c r="B23" s="5">
        <v>60</v>
      </c>
      <c r="C23">
        <v>1</v>
      </c>
      <c r="D23">
        <v>26.7</v>
      </c>
      <c r="E23">
        <v>4.3</v>
      </c>
      <c r="F23">
        <v>10.8</v>
      </c>
      <c r="H23">
        <v>1.25</v>
      </c>
      <c r="I23">
        <v>26.45</v>
      </c>
      <c r="J23">
        <v>0.61</v>
      </c>
      <c r="K23">
        <v>28.52</v>
      </c>
    </row>
    <row r="24" spans="1:11" x14ac:dyDescent="0.25">
      <c r="A24" s="22">
        <v>23</v>
      </c>
      <c r="B24" s="22">
        <v>75</v>
      </c>
      <c r="C24">
        <v>0.8</v>
      </c>
      <c r="D24">
        <v>46.8</v>
      </c>
      <c r="E24">
        <v>2.7</v>
      </c>
      <c r="F24">
        <v>8.1</v>
      </c>
      <c r="H24">
        <v>1.77</v>
      </c>
      <c r="I24">
        <v>24.46</v>
      </c>
      <c r="J24">
        <v>0.74</v>
      </c>
      <c r="K24">
        <v>28</v>
      </c>
    </row>
    <row r="25" spans="1:11" x14ac:dyDescent="0.25">
      <c r="A25" s="14">
        <v>24</v>
      </c>
      <c r="B25" s="14">
        <v>75</v>
      </c>
      <c r="C25">
        <v>0.5</v>
      </c>
      <c r="D25">
        <v>17.3</v>
      </c>
      <c r="E25">
        <v>1.3</v>
      </c>
      <c r="F25">
        <v>6</v>
      </c>
      <c r="H25">
        <v>1.25</v>
      </c>
      <c r="I25">
        <v>24.97</v>
      </c>
      <c r="J25">
        <v>0.65</v>
      </c>
      <c r="K25">
        <v>28.42</v>
      </c>
    </row>
    <row r="26" spans="1:11" x14ac:dyDescent="0.25">
      <c r="A26" s="32">
        <v>25</v>
      </c>
      <c r="B26" s="32">
        <v>0</v>
      </c>
      <c r="C26">
        <v>0.7</v>
      </c>
      <c r="D26">
        <v>46</v>
      </c>
      <c r="E26">
        <v>0.4</v>
      </c>
      <c r="F26">
        <v>34.299999999999997</v>
      </c>
      <c r="H26">
        <v>0.73</v>
      </c>
      <c r="I26">
        <v>28.18</v>
      </c>
      <c r="J26">
        <v>1.66</v>
      </c>
      <c r="K26">
        <v>27.22</v>
      </c>
    </row>
    <row r="27" spans="1:11" x14ac:dyDescent="0.25">
      <c r="A27" s="12">
        <v>26</v>
      </c>
      <c r="B27" s="12">
        <v>0</v>
      </c>
      <c r="C27">
        <v>0.8</v>
      </c>
      <c r="D27">
        <v>60.7</v>
      </c>
      <c r="E27">
        <v>0.8</v>
      </c>
      <c r="F27">
        <v>15.6</v>
      </c>
      <c r="H27">
        <v>1.26</v>
      </c>
      <c r="I27">
        <v>26.39</v>
      </c>
      <c r="J27">
        <v>1.83</v>
      </c>
      <c r="K27">
        <v>26.9</v>
      </c>
    </row>
    <row r="28" spans="1:11" x14ac:dyDescent="0.25">
      <c r="A28" s="15">
        <v>27</v>
      </c>
      <c r="B28" s="15">
        <v>50</v>
      </c>
      <c r="C28">
        <v>0.7</v>
      </c>
      <c r="D28">
        <v>54</v>
      </c>
      <c r="E28">
        <v>0.6</v>
      </c>
      <c r="F28">
        <v>18.399999999999999</v>
      </c>
      <c r="H28">
        <v>1.21</v>
      </c>
      <c r="I28">
        <v>25.33</v>
      </c>
      <c r="J28">
        <v>2.23</v>
      </c>
      <c r="K28">
        <v>26.27</v>
      </c>
    </row>
    <row r="29" spans="1:11" x14ac:dyDescent="0.25">
      <c r="A29" s="5">
        <v>28</v>
      </c>
      <c r="B29" s="5">
        <v>50</v>
      </c>
      <c r="C29">
        <v>0.8</v>
      </c>
      <c r="D29">
        <v>52.3</v>
      </c>
      <c r="E29">
        <v>0.6</v>
      </c>
      <c r="F29">
        <v>27</v>
      </c>
      <c r="H29">
        <v>0.89</v>
      </c>
      <c r="I29">
        <v>26.98</v>
      </c>
      <c r="J29">
        <v>2.14</v>
      </c>
      <c r="K29">
        <v>26.57</v>
      </c>
    </row>
    <row r="30" spans="1:11" x14ac:dyDescent="0.25">
      <c r="A30" s="16">
        <v>29</v>
      </c>
      <c r="B30" s="16">
        <v>60</v>
      </c>
      <c r="C30">
        <v>0.7</v>
      </c>
      <c r="D30">
        <v>55.4</v>
      </c>
      <c r="E30">
        <v>1.3</v>
      </c>
      <c r="F30">
        <v>14.8</v>
      </c>
      <c r="H30">
        <v>1.25</v>
      </c>
      <c r="I30">
        <v>26.13</v>
      </c>
      <c r="J30">
        <v>1.54</v>
      </c>
      <c r="K30">
        <v>27.26</v>
      </c>
    </row>
    <row r="31" spans="1:11" x14ac:dyDescent="0.25">
      <c r="A31" s="23">
        <v>30</v>
      </c>
      <c r="B31" s="23">
        <v>60</v>
      </c>
      <c r="C31">
        <v>0.8</v>
      </c>
      <c r="D31">
        <v>49.1</v>
      </c>
      <c r="E31">
        <v>1</v>
      </c>
      <c r="F31">
        <v>18.8</v>
      </c>
      <c r="H31">
        <v>1.51</v>
      </c>
      <c r="I31">
        <v>25.05</v>
      </c>
      <c r="J31">
        <v>1.63</v>
      </c>
      <c r="K31">
        <v>26.68</v>
      </c>
    </row>
    <row r="32" spans="1:11" x14ac:dyDescent="0.25">
      <c r="A32" s="10">
        <v>31</v>
      </c>
      <c r="B32" s="10">
        <v>75</v>
      </c>
      <c r="C32">
        <v>0.9</v>
      </c>
      <c r="D32">
        <v>42.6</v>
      </c>
      <c r="E32">
        <v>2.6</v>
      </c>
      <c r="F32">
        <v>13.1</v>
      </c>
      <c r="H32">
        <v>1.17</v>
      </c>
      <c r="I32">
        <v>25.76</v>
      </c>
      <c r="J32">
        <v>0.89</v>
      </c>
      <c r="K32">
        <v>27.86</v>
      </c>
    </row>
    <row r="33" spans="1:11" x14ac:dyDescent="0.25">
      <c r="A33" s="27">
        <v>32</v>
      </c>
      <c r="B33" s="27">
        <v>75</v>
      </c>
      <c r="C33">
        <v>0.8</v>
      </c>
      <c r="D33">
        <v>44.9</v>
      </c>
      <c r="E33">
        <v>3</v>
      </c>
      <c r="F33">
        <v>7.9</v>
      </c>
      <c r="H33">
        <v>1.62</v>
      </c>
      <c r="I33">
        <v>24.67</v>
      </c>
      <c r="J33">
        <v>0.79</v>
      </c>
      <c r="K33">
        <v>27.9</v>
      </c>
    </row>
    <row r="34" spans="1:11" x14ac:dyDescent="0.25">
      <c r="A34" s="9">
        <v>33</v>
      </c>
      <c r="B34" s="9">
        <v>0</v>
      </c>
      <c r="C34">
        <v>0.7</v>
      </c>
      <c r="D34">
        <v>34.4</v>
      </c>
      <c r="E34">
        <v>1.5</v>
      </c>
      <c r="F34">
        <v>15.3</v>
      </c>
      <c r="H34">
        <v>1.42</v>
      </c>
      <c r="I34">
        <v>22.14</v>
      </c>
      <c r="J34">
        <v>2.02</v>
      </c>
      <c r="K34">
        <v>26.44</v>
      </c>
    </row>
    <row r="35" spans="1:11" x14ac:dyDescent="0.25">
      <c r="A35" s="30">
        <v>34</v>
      </c>
      <c r="B35" s="30">
        <v>0</v>
      </c>
      <c r="C35">
        <v>0.8</v>
      </c>
      <c r="D35">
        <v>53.5</v>
      </c>
      <c r="E35">
        <v>0.4</v>
      </c>
      <c r="F35">
        <v>18.8</v>
      </c>
      <c r="H35">
        <v>1.04</v>
      </c>
      <c r="I35">
        <v>26.18</v>
      </c>
      <c r="J35">
        <v>1.67</v>
      </c>
      <c r="K35">
        <v>26.37</v>
      </c>
    </row>
    <row r="36" spans="1:11" x14ac:dyDescent="0.25">
      <c r="A36" s="25">
        <v>35</v>
      </c>
      <c r="B36" s="25">
        <v>50</v>
      </c>
      <c r="C36">
        <v>0.8</v>
      </c>
      <c r="D36">
        <v>52.5</v>
      </c>
      <c r="E36">
        <v>0.9</v>
      </c>
      <c r="F36">
        <v>17.5</v>
      </c>
      <c r="H36">
        <v>1.69</v>
      </c>
      <c r="I36">
        <v>24.72</v>
      </c>
      <c r="J36">
        <v>1.57</v>
      </c>
      <c r="K36">
        <v>26.59</v>
      </c>
    </row>
    <row r="37" spans="1:11" x14ac:dyDescent="0.25">
      <c r="A37" s="8">
        <v>36</v>
      </c>
      <c r="B37" s="8">
        <v>50</v>
      </c>
      <c r="C37">
        <v>0.7</v>
      </c>
      <c r="D37">
        <v>40.9</v>
      </c>
      <c r="E37">
        <v>1.9</v>
      </c>
      <c r="F37">
        <v>20.9</v>
      </c>
      <c r="H37">
        <v>0.97</v>
      </c>
      <c r="I37">
        <v>27.84</v>
      </c>
      <c r="J37">
        <v>1.1399999999999999</v>
      </c>
      <c r="K37">
        <v>27.51</v>
      </c>
    </row>
    <row r="38" spans="1:11" x14ac:dyDescent="0.25">
      <c r="A38" s="46">
        <v>38</v>
      </c>
      <c r="B38" s="46">
        <v>60</v>
      </c>
      <c r="C38">
        <v>0.9</v>
      </c>
      <c r="D38">
        <v>39.200000000000003</v>
      </c>
      <c r="E38">
        <v>4</v>
      </c>
      <c r="F38">
        <v>12.9</v>
      </c>
      <c r="H38">
        <v>0</v>
      </c>
      <c r="I38">
        <v>25.41</v>
      </c>
      <c r="J38">
        <v>0.78</v>
      </c>
      <c r="K38">
        <v>28.07</v>
      </c>
    </row>
    <row r="39" spans="1:11" x14ac:dyDescent="0.25">
      <c r="A39" s="20">
        <v>39</v>
      </c>
      <c r="B39" s="20">
        <v>75</v>
      </c>
      <c r="C39">
        <v>0.8</v>
      </c>
      <c r="D39">
        <v>39</v>
      </c>
      <c r="E39">
        <v>2.4</v>
      </c>
      <c r="F39">
        <v>10.7</v>
      </c>
      <c r="H39">
        <v>1.93</v>
      </c>
      <c r="I39">
        <v>23.31</v>
      </c>
      <c r="J39">
        <v>0.76</v>
      </c>
      <c r="K39">
        <v>27.58</v>
      </c>
    </row>
    <row r="40" spans="1:11" x14ac:dyDescent="0.25">
      <c r="A40" s="45">
        <v>40</v>
      </c>
      <c r="B40" s="45">
        <v>75</v>
      </c>
      <c r="C40">
        <v>0.9</v>
      </c>
      <c r="D40">
        <v>38.6</v>
      </c>
      <c r="E40">
        <v>2.5</v>
      </c>
      <c r="F40">
        <v>16.2</v>
      </c>
      <c r="H40">
        <v>1.24</v>
      </c>
      <c r="I40">
        <v>25.72</v>
      </c>
      <c r="J40">
        <v>0.62</v>
      </c>
      <c r="K40">
        <v>28.5</v>
      </c>
    </row>
  </sheetData>
  <sortState ref="A1:K40">
    <sortCondition ref="A1:A40"/>
  </sortState>
  <phoneticPr fontId="2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view="pageLayout" topLeftCell="S2" workbookViewId="0">
      <selection activeCell="AD29" sqref="AD29"/>
    </sheetView>
  </sheetViews>
  <sheetFormatPr defaultColWidth="10.85546875" defaultRowHeight="15" x14ac:dyDescent="0.25"/>
  <cols>
    <col min="9" max="9" width="14.140625" customWidth="1"/>
    <col min="10" max="10" width="18.7109375" customWidth="1"/>
    <col min="20" max="20" width="16.42578125" customWidth="1"/>
    <col min="28" max="28" width="10.85546875" style="74"/>
  </cols>
  <sheetData>
    <row r="1" spans="1:30" x14ac:dyDescent="0.25">
      <c r="A1" s="42" t="s">
        <v>39</v>
      </c>
      <c r="B1" s="42" t="s">
        <v>40</v>
      </c>
      <c r="C1" s="47" t="s">
        <v>4</v>
      </c>
      <c r="D1" s="47" t="s">
        <v>123</v>
      </c>
      <c r="E1" s="1" t="s">
        <v>96</v>
      </c>
      <c r="F1" s="72" t="s">
        <v>109</v>
      </c>
      <c r="G1" s="1" t="s">
        <v>25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107</v>
      </c>
      <c r="O1" s="1" t="s">
        <v>108</v>
      </c>
      <c r="P1" s="1" t="s">
        <v>35</v>
      </c>
      <c r="Q1" s="1" t="s">
        <v>42</v>
      </c>
      <c r="R1" s="1" t="s">
        <v>112</v>
      </c>
      <c r="S1" s="1" t="s">
        <v>113</v>
      </c>
      <c r="T1" s="1" t="s">
        <v>117</v>
      </c>
      <c r="U1" s="1" t="s">
        <v>118</v>
      </c>
      <c r="V1" s="1" t="s">
        <v>119</v>
      </c>
      <c r="Y1" s="1" t="s">
        <v>124</v>
      </c>
      <c r="Z1" s="1" t="s">
        <v>125</v>
      </c>
      <c r="AA1" s="1" t="s">
        <v>126</v>
      </c>
      <c r="AB1" s="73" t="s">
        <v>134</v>
      </c>
      <c r="AC1" s="1" t="s">
        <v>135</v>
      </c>
      <c r="AD1" s="1" t="s">
        <v>136</v>
      </c>
    </row>
    <row r="2" spans="1:30" x14ac:dyDescent="0.25">
      <c r="A2" s="10">
        <v>1</v>
      </c>
      <c r="B2" s="10">
        <v>0</v>
      </c>
      <c r="C2">
        <v>5.13</v>
      </c>
      <c r="D2">
        <f>243229+459894</f>
        <v>703123</v>
      </c>
      <c r="E2">
        <v>4.4800000000000004</v>
      </c>
      <c r="F2">
        <v>31.24</v>
      </c>
      <c r="G2">
        <v>59.93</v>
      </c>
      <c r="H2">
        <v>23.01</v>
      </c>
      <c r="I2">
        <v>17</v>
      </c>
      <c r="J2">
        <v>26.87</v>
      </c>
      <c r="K2">
        <v>1.1499999999999999</v>
      </c>
      <c r="L2">
        <v>26.82</v>
      </c>
      <c r="M2">
        <v>1.76</v>
      </c>
      <c r="N2">
        <v>26.1</v>
      </c>
      <c r="O2">
        <v>1.9</v>
      </c>
      <c r="P2">
        <v>23218</v>
      </c>
      <c r="Q2" s="3">
        <v>13707624</v>
      </c>
      <c r="R2">
        <f t="shared" ref="R2:R37" si="0">P2/Q2*1000</f>
        <v>1.6938019309546277</v>
      </c>
      <c r="S2">
        <v>58.29</v>
      </c>
      <c r="T2">
        <v>468187</v>
      </c>
      <c r="U2">
        <f t="shared" ref="U2:U37" si="1">(T2/Q2)*100</f>
        <v>3.4155226317850564</v>
      </c>
      <c r="V2">
        <f t="shared" ref="V2:V41" si="2">T2/D2</f>
        <v>0.66586784957966105</v>
      </c>
      <c r="Y2">
        <v>423345</v>
      </c>
      <c r="Z2">
        <f t="shared" ref="Z2:Z37" si="3">(Y2/Q2)*100</f>
        <v>3.0883908108363638</v>
      </c>
      <c r="AA2">
        <f t="shared" ref="AA2:AA37" si="4">Y2/D2</f>
        <v>0.60209237928498993</v>
      </c>
      <c r="AB2" s="74">
        <v>40</v>
      </c>
      <c r="AC2">
        <v>27.07</v>
      </c>
      <c r="AD2">
        <v>1.0900000000000001</v>
      </c>
    </row>
    <row r="3" spans="1:30" x14ac:dyDescent="0.25">
      <c r="A3" s="8">
        <v>2</v>
      </c>
      <c r="B3" s="8">
        <v>0</v>
      </c>
      <c r="C3">
        <v>5.19</v>
      </c>
      <c r="D3">
        <f>282174+847625</f>
        <v>1129799</v>
      </c>
      <c r="E3">
        <v>5.01</v>
      </c>
      <c r="F3">
        <v>34.33</v>
      </c>
      <c r="G3">
        <v>68.930000000000007</v>
      </c>
      <c r="H3">
        <v>22.68</v>
      </c>
      <c r="I3">
        <v>32.840000000000003</v>
      </c>
      <c r="J3">
        <v>26.91</v>
      </c>
      <c r="K3">
        <v>0.97</v>
      </c>
      <c r="L3">
        <v>25.88</v>
      </c>
      <c r="M3">
        <v>2.27</v>
      </c>
      <c r="N3">
        <v>26.11</v>
      </c>
      <c r="O3">
        <v>1.74</v>
      </c>
      <c r="P3">
        <v>24115</v>
      </c>
      <c r="Q3" s="3">
        <v>21748199</v>
      </c>
      <c r="R3">
        <f t="shared" si="0"/>
        <v>1.1088274481946758</v>
      </c>
      <c r="S3">
        <v>67.75</v>
      </c>
      <c r="T3">
        <v>784978</v>
      </c>
      <c r="U3">
        <f t="shared" si="1"/>
        <v>3.6093931272194082</v>
      </c>
      <c r="V3">
        <f t="shared" si="2"/>
        <v>0.69479438377976965</v>
      </c>
      <c r="Y3">
        <v>693965</v>
      </c>
      <c r="Z3">
        <f t="shared" si="3"/>
        <v>3.1909079000058806</v>
      </c>
      <c r="AA3">
        <f t="shared" si="4"/>
        <v>0.61423757677250557</v>
      </c>
      <c r="AB3" s="74">
        <v>48.15</v>
      </c>
      <c r="AC3">
        <v>26.99</v>
      </c>
      <c r="AD3">
        <v>1.0900000000000001</v>
      </c>
    </row>
    <row r="4" spans="1:30" x14ac:dyDescent="0.25">
      <c r="A4" s="13">
        <v>3</v>
      </c>
      <c r="B4" s="13">
        <v>50</v>
      </c>
      <c r="C4">
        <v>4.49</v>
      </c>
      <c r="D4">
        <f>184436+393049</f>
        <v>577485</v>
      </c>
      <c r="E4">
        <v>4.38</v>
      </c>
      <c r="F4">
        <v>32.200000000000003</v>
      </c>
      <c r="G4">
        <v>66.87</v>
      </c>
      <c r="H4">
        <v>22.81</v>
      </c>
      <c r="I4">
        <v>24.94</v>
      </c>
      <c r="J4">
        <v>26.88</v>
      </c>
      <c r="K4">
        <v>1.1000000000000001</v>
      </c>
      <c r="L4">
        <v>25.85</v>
      </c>
      <c r="M4">
        <v>2.4700000000000002</v>
      </c>
      <c r="N4">
        <v>26.08</v>
      </c>
      <c r="O4">
        <v>1.93</v>
      </c>
      <c r="P4">
        <v>22209</v>
      </c>
      <c r="Q4" s="3">
        <v>12849203</v>
      </c>
      <c r="R4">
        <f t="shared" si="0"/>
        <v>1.728434051512767</v>
      </c>
      <c r="S4">
        <v>65.44</v>
      </c>
      <c r="T4">
        <v>391051</v>
      </c>
      <c r="U4">
        <f t="shared" si="1"/>
        <v>3.0433872046382953</v>
      </c>
      <c r="V4">
        <f t="shared" si="2"/>
        <v>0.67716217737257245</v>
      </c>
      <c r="W4">
        <f>STDEV(T2:T3)</f>
        <v>224005.06431886757</v>
      </c>
      <c r="X4">
        <f>STDEV(Q2:Q3)</f>
        <v>5685545.107139024</v>
      </c>
      <c r="Y4">
        <v>352505</v>
      </c>
      <c r="Z4">
        <f t="shared" si="3"/>
        <v>2.7433997268157411</v>
      </c>
      <c r="AA4">
        <f t="shared" si="4"/>
        <v>0.61041412331056222</v>
      </c>
      <c r="AB4" s="74">
        <v>46.65</v>
      </c>
      <c r="AC4">
        <v>26.92</v>
      </c>
      <c r="AD4">
        <v>1.07</v>
      </c>
    </row>
    <row r="5" spans="1:30" x14ac:dyDescent="0.25">
      <c r="A5" s="17">
        <v>4</v>
      </c>
      <c r="B5" s="17">
        <v>50</v>
      </c>
      <c r="C5">
        <v>4.79</v>
      </c>
      <c r="D5">
        <f>337595+757421</f>
        <v>1095016</v>
      </c>
      <c r="E5">
        <v>4.8899999999999997</v>
      </c>
      <c r="F5">
        <v>35.28</v>
      </c>
      <c r="G5">
        <v>63.21</v>
      </c>
      <c r="H5">
        <v>23.12</v>
      </c>
      <c r="I5">
        <v>9.83</v>
      </c>
      <c r="J5">
        <v>27.27</v>
      </c>
      <c r="K5">
        <v>1</v>
      </c>
      <c r="L5">
        <v>26.37</v>
      </c>
      <c r="M5">
        <v>1.95</v>
      </c>
      <c r="N5">
        <v>26.58</v>
      </c>
      <c r="O5">
        <v>1.55</v>
      </c>
      <c r="P5">
        <v>25658</v>
      </c>
      <c r="Q5" s="3">
        <v>22840944</v>
      </c>
      <c r="R5">
        <f t="shared" si="0"/>
        <v>1.1233336065269457</v>
      </c>
      <c r="S5">
        <v>61.72</v>
      </c>
      <c r="T5">
        <v>662456</v>
      </c>
      <c r="U5">
        <f t="shared" si="1"/>
        <v>2.9003004429238999</v>
      </c>
      <c r="V5">
        <f t="shared" si="2"/>
        <v>0.60497380860188343</v>
      </c>
      <c r="W5">
        <f>W4/SQRT(10)</f>
        <v>70836.621066013584</v>
      </c>
      <c r="X5">
        <f>X4/SQRT(10)</f>
        <v>1797927.2278185368</v>
      </c>
      <c r="Y5">
        <v>585093</v>
      </c>
      <c r="Z5">
        <f t="shared" si="3"/>
        <v>2.5615972789916213</v>
      </c>
      <c r="AA5">
        <f t="shared" si="4"/>
        <v>0.53432369937973512</v>
      </c>
      <c r="AB5" s="74">
        <v>39.01</v>
      </c>
      <c r="AC5">
        <v>26.97</v>
      </c>
      <c r="AD5">
        <v>1.08</v>
      </c>
    </row>
    <row r="6" spans="1:30" x14ac:dyDescent="0.25">
      <c r="A6" s="32">
        <v>5</v>
      </c>
      <c r="B6" s="32">
        <v>60</v>
      </c>
      <c r="C6">
        <v>7.12</v>
      </c>
      <c r="D6">
        <v>445960</v>
      </c>
      <c r="E6">
        <v>6.55</v>
      </c>
      <c r="F6">
        <v>38.43</v>
      </c>
      <c r="G6">
        <v>59.79</v>
      </c>
      <c r="H6">
        <v>22.27</v>
      </c>
      <c r="I6">
        <v>4.9400000000000004</v>
      </c>
      <c r="J6">
        <v>27.97</v>
      </c>
      <c r="K6">
        <v>0.56000000000000005</v>
      </c>
      <c r="L6">
        <v>26.96</v>
      </c>
      <c r="M6">
        <v>1.2</v>
      </c>
      <c r="N6">
        <v>27.11</v>
      </c>
      <c r="O6">
        <v>0.92</v>
      </c>
      <c r="P6">
        <v>25111</v>
      </c>
      <c r="Q6" s="3">
        <v>17317472</v>
      </c>
      <c r="R6">
        <f t="shared" si="0"/>
        <v>1.4500384351711382</v>
      </c>
      <c r="S6">
        <v>58.85</v>
      </c>
      <c r="T6">
        <v>763509</v>
      </c>
      <c r="U6">
        <f t="shared" si="1"/>
        <v>4.4088940926250668</v>
      </c>
      <c r="V6">
        <f t="shared" si="2"/>
        <v>1.7120571351690734</v>
      </c>
      <c r="W6">
        <f>STDEV(T2:T5)</f>
        <v>179791.02229533042</v>
      </c>
      <c r="X6">
        <f>STDEV(Q2:Q5)</f>
        <v>5236302.5824557096</v>
      </c>
      <c r="Y6">
        <v>660274</v>
      </c>
      <c r="Z6">
        <f t="shared" si="3"/>
        <v>3.8127620474859145</v>
      </c>
      <c r="AA6">
        <f t="shared" si="4"/>
        <v>1.4805677639250157</v>
      </c>
      <c r="AB6" s="74">
        <v>38.340000000000003</v>
      </c>
      <c r="AC6">
        <v>27</v>
      </c>
      <c r="AD6">
        <v>1.07</v>
      </c>
    </row>
    <row r="7" spans="1:30" x14ac:dyDescent="0.25">
      <c r="A7" s="22">
        <v>6</v>
      </c>
      <c r="B7" s="22">
        <v>60</v>
      </c>
      <c r="C7">
        <v>3.22</v>
      </c>
      <c r="D7">
        <v>786724</v>
      </c>
      <c r="E7">
        <v>2.08</v>
      </c>
      <c r="F7">
        <v>26.93</v>
      </c>
      <c r="G7">
        <v>72.84</v>
      </c>
      <c r="H7">
        <v>23.27</v>
      </c>
      <c r="I7">
        <v>3.81</v>
      </c>
      <c r="J7">
        <v>28.32</v>
      </c>
      <c r="K7">
        <v>0.59</v>
      </c>
      <c r="L7">
        <v>27.72</v>
      </c>
      <c r="M7">
        <v>1.67</v>
      </c>
      <c r="N7">
        <v>27.68</v>
      </c>
      <c r="O7">
        <v>1.29</v>
      </c>
      <c r="P7">
        <v>19750</v>
      </c>
      <c r="Q7" s="3">
        <v>13822410</v>
      </c>
      <c r="R7">
        <f t="shared" si="0"/>
        <v>1.4288391098223827</v>
      </c>
      <c r="S7">
        <v>69.06</v>
      </c>
      <c r="T7">
        <v>275563</v>
      </c>
      <c r="U7">
        <f t="shared" si="1"/>
        <v>1.9935959069366342</v>
      </c>
      <c r="V7">
        <f t="shared" si="2"/>
        <v>0.35026642126082336</v>
      </c>
      <c r="W7">
        <f>W6/SQRT(10)</f>
        <v>56854.913330335839</v>
      </c>
      <c r="X7">
        <f>X6/SQRT(10)</f>
        <v>1655864.2678381682</v>
      </c>
      <c r="Y7">
        <v>250275</v>
      </c>
      <c r="Z7">
        <f t="shared" si="3"/>
        <v>1.8106466238521357</v>
      </c>
      <c r="AA7">
        <f t="shared" si="4"/>
        <v>0.31812300120499692</v>
      </c>
      <c r="AB7" s="74">
        <v>32.42</v>
      </c>
      <c r="AC7">
        <v>27.17</v>
      </c>
      <c r="AD7">
        <v>1.01</v>
      </c>
    </row>
    <row r="8" spans="1:30" x14ac:dyDescent="0.25">
      <c r="A8" s="15">
        <v>7</v>
      </c>
      <c r="B8" s="15">
        <v>75</v>
      </c>
      <c r="C8">
        <v>16.11</v>
      </c>
      <c r="D8">
        <f>1069221+1606485</f>
        <v>2675706</v>
      </c>
      <c r="E8">
        <v>8.6999999999999993</v>
      </c>
      <c r="F8">
        <v>27.65</v>
      </c>
      <c r="G8">
        <v>26.93</v>
      </c>
      <c r="H8">
        <v>25.34</v>
      </c>
      <c r="I8">
        <v>1.1100000000000001</v>
      </c>
      <c r="J8">
        <v>30.19</v>
      </c>
      <c r="K8">
        <v>0.22</v>
      </c>
      <c r="L8">
        <v>29.89</v>
      </c>
      <c r="M8">
        <v>0.28000000000000003</v>
      </c>
      <c r="N8">
        <v>28.67</v>
      </c>
      <c r="O8">
        <v>0.33</v>
      </c>
      <c r="P8">
        <v>25646</v>
      </c>
      <c r="Q8" s="3">
        <v>16610531</v>
      </c>
      <c r="R8">
        <f t="shared" si="0"/>
        <v>1.5439602743584777</v>
      </c>
      <c r="S8">
        <v>25.78</v>
      </c>
      <c r="T8">
        <v>1943879</v>
      </c>
      <c r="U8">
        <f t="shared" si="1"/>
        <v>11.702690299304701</v>
      </c>
      <c r="V8">
        <f t="shared" si="2"/>
        <v>0.72649199874724657</v>
      </c>
      <c r="W8">
        <f>STDEV(T2:T7)</f>
        <v>209939.12059642433</v>
      </c>
      <c r="X8">
        <f>STDEV(Q2:Q7)</f>
        <v>4356951.322501136</v>
      </c>
      <c r="Y8">
        <v>1716916</v>
      </c>
      <c r="Z8">
        <f t="shared" si="3"/>
        <v>10.336310139633706</v>
      </c>
      <c r="AA8">
        <f t="shared" si="4"/>
        <v>0.6416684045257588</v>
      </c>
      <c r="AB8" s="74">
        <v>16.579999999999998</v>
      </c>
      <c r="AC8" s="3">
        <v>27.11</v>
      </c>
      <c r="AD8" s="3">
        <v>1.05</v>
      </c>
    </row>
    <row r="9" spans="1:30" x14ac:dyDescent="0.25">
      <c r="A9" s="5">
        <v>8</v>
      </c>
      <c r="B9" s="5">
        <v>75</v>
      </c>
      <c r="C9">
        <v>8.61</v>
      </c>
      <c r="D9">
        <f>524236+883667</f>
        <v>1407903</v>
      </c>
      <c r="E9">
        <v>6.54</v>
      </c>
      <c r="F9">
        <v>38.74</v>
      </c>
      <c r="G9">
        <v>56.49</v>
      </c>
      <c r="H9">
        <v>23.29</v>
      </c>
      <c r="I9">
        <v>2.69</v>
      </c>
      <c r="J9">
        <v>28.39</v>
      </c>
      <c r="K9">
        <v>0.63</v>
      </c>
      <c r="L9">
        <v>27.64</v>
      </c>
      <c r="M9">
        <v>1.07</v>
      </c>
      <c r="N9">
        <v>27.56</v>
      </c>
      <c r="O9">
        <v>0.9</v>
      </c>
      <c r="P9">
        <v>23722</v>
      </c>
      <c r="Q9" s="3">
        <v>16347835</v>
      </c>
      <c r="R9">
        <f t="shared" si="0"/>
        <v>1.4510789960872494</v>
      </c>
      <c r="S9">
        <v>55.44</v>
      </c>
      <c r="T9">
        <v>988519</v>
      </c>
      <c r="U9">
        <f t="shared" si="1"/>
        <v>6.0467884585328884</v>
      </c>
      <c r="V9">
        <f t="shared" si="2"/>
        <v>0.70212152399703676</v>
      </c>
      <c r="W9">
        <f>W8/SQRT(9)</f>
        <v>69979.706865474771</v>
      </c>
      <c r="X9">
        <f>X8/SQRT(9)</f>
        <v>1452317.1075003787</v>
      </c>
      <c r="Y9">
        <v>841435</v>
      </c>
      <c r="Z9">
        <f t="shared" si="3"/>
        <v>5.147072991622438</v>
      </c>
      <c r="AA9">
        <f t="shared" si="4"/>
        <v>0.59765125864494928</v>
      </c>
      <c r="AB9" s="74">
        <v>31.81</v>
      </c>
      <c r="AC9" s="3">
        <v>27.12</v>
      </c>
      <c r="AD9" s="3">
        <v>1.05</v>
      </c>
    </row>
    <row r="10" spans="1:30" x14ac:dyDescent="0.25">
      <c r="A10" s="25">
        <v>9</v>
      </c>
      <c r="B10" s="25">
        <v>0</v>
      </c>
      <c r="C10">
        <v>6.21</v>
      </c>
      <c r="D10">
        <f>390485+853945</f>
        <v>1244430</v>
      </c>
      <c r="E10">
        <v>6.32</v>
      </c>
      <c r="F10">
        <v>31.36</v>
      </c>
      <c r="G10">
        <v>59.66</v>
      </c>
      <c r="H10">
        <v>22.61</v>
      </c>
      <c r="I10">
        <v>17.61</v>
      </c>
      <c r="J10">
        <v>26.71</v>
      </c>
      <c r="K10">
        <v>1.32</v>
      </c>
      <c r="L10">
        <v>25.93</v>
      </c>
      <c r="M10">
        <v>2.42</v>
      </c>
      <c r="N10">
        <v>26.06</v>
      </c>
      <c r="O10">
        <v>2</v>
      </c>
      <c r="P10">
        <v>25792</v>
      </c>
      <c r="Q10" s="3">
        <v>20044485</v>
      </c>
      <c r="R10">
        <f t="shared" si="0"/>
        <v>1.2867379730634136</v>
      </c>
      <c r="S10">
        <v>58.07</v>
      </c>
      <c r="T10">
        <v>746776</v>
      </c>
      <c r="U10">
        <f t="shared" si="1"/>
        <v>3.7255933489935016</v>
      </c>
      <c r="V10">
        <f t="shared" si="2"/>
        <v>0.60009482252919011</v>
      </c>
      <c r="Y10">
        <v>662640</v>
      </c>
      <c r="Z10">
        <f t="shared" si="3"/>
        <v>3.3058469698772504</v>
      </c>
      <c r="AA10">
        <f t="shared" si="4"/>
        <v>0.53248475205515777</v>
      </c>
      <c r="AB10" s="74">
        <v>39.25</v>
      </c>
      <c r="AC10">
        <v>27.03</v>
      </c>
      <c r="AD10">
        <v>10.5</v>
      </c>
    </row>
    <row r="11" spans="1:30" x14ac:dyDescent="0.25">
      <c r="A11" s="8">
        <v>10</v>
      </c>
      <c r="B11" s="8">
        <v>0</v>
      </c>
      <c r="C11">
        <v>4.3499999999999996</v>
      </c>
      <c r="D11">
        <f>231052+426152</f>
        <v>657204</v>
      </c>
      <c r="E11">
        <v>3.23</v>
      </c>
      <c r="F11">
        <v>38.03</v>
      </c>
      <c r="G11">
        <v>69.91</v>
      </c>
      <c r="H11">
        <v>22.83</v>
      </c>
      <c r="I11">
        <v>33.229999999999997</v>
      </c>
      <c r="J11">
        <v>27.14</v>
      </c>
      <c r="K11">
        <v>0.82</v>
      </c>
      <c r="L11">
        <v>26.06</v>
      </c>
      <c r="M11">
        <v>1.89</v>
      </c>
      <c r="N11">
        <v>26.33</v>
      </c>
      <c r="O11">
        <v>1.45</v>
      </c>
      <c r="P11">
        <v>22251</v>
      </c>
      <c r="Q11" s="3">
        <v>15110151</v>
      </c>
      <c r="R11">
        <f t="shared" si="0"/>
        <v>1.4725862104223844</v>
      </c>
      <c r="S11">
        <v>68.75</v>
      </c>
      <c r="T11">
        <v>495251</v>
      </c>
      <c r="U11">
        <f t="shared" si="1"/>
        <v>3.277604571919897</v>
      </c>
      <c r="V11">
        <f t="shared" si="2"/>
        <v>0.75357271106079693</v>
      </c>
      <c r="Y11">
        <v>434698</v>
      </c>
      <c r="Z11">
        <f t="shared" si="3"/>
        <v>2.8768607275996114</v>
      </c>
      <c r="AA11">
        <f t="shared" si="4"/>
        <v>0.66143541427015051</v>
      </c>
      <c r="AB11" s="74">
        <v>48.48</v>
      </c>
      <c r="AC11">
        <v>27.01</v>
      </c>
      <c r="AD11">
        <v>1.08</v>
      </c>
    </row>
    <row r="12" spans="1:30" x14ac:dyDescent="0.25">
      <c r="A12" s="46">
        <v>11</v>
      </c>
      <c r="B12" s="46">
        <v>50</v>
      </c>
      <c r="C12">
        <v>3.45</v>
      </c>
      <c r="D12">
        <f>246139+347226</f>
        <v>593365</v>
      </c>
      <c r="E12">
        <v>3.21</v>
      </c>
      <c r="F12">
        <v>31.21</v>
      </c>
      <c r="G12">
        <v>67.47</v>
      </c>
      <c r="H12">
        <v>23.08</v>
      </c>
      <c r="I12">
        <v>6.84</v>
      </c>
      <c r="J12">
        <v>27.52</v>
      </c>
      <c r="K12">
        <v>0.83</v>
      </c>
      <c r="L12">
        <v>26.73</v>
      </c>
      <c r="M12">
        <v>1.99</v>
      </c>
      <c r="N12">
        <v>26.85</v>
      </c>
      <c r="O12">
        <v>1.52</v>
      </c>
      <c r="P12">
        <v>21390</v>
      </c>
      <c r="Q12" s="3">
        <v>17199571</v>
      </c>
      <c r="R12">
        <f t="shared" si="0"/>
        <v>1.243635669750135</v>
      </c>
      <c r="S12">
        <v>65.72</v>
      </c>
      <c r="T12">
        <v>368680</v>
      </c>
      <c r="U12">
        <f t="shared" si="1"/>
        <v>2.1435418360143981</v>
      </c>
      <c r="V12">
        <f t="shared" si="2"/>
        <v>0.62133762523910241</v>
      </c>
      <c r="Y12">
        <v>324871</v>
      </c>
      <c r="Z12">
        <f t="shared" si="3"/>
        <v>1.8888319947049843</v>
      </c>
      <c r="AA12">
        <f t="shared" si="4"/>
        <v>0.54750617242338184</v>
      </c>
      <c r="AB12" s="74">
        <v>38.51</v>
      </c>
      <c r="AC12">
        <v>27.01</v>
      </c>
      <c r="AD12">
        <v>1.07</v>
      </c>
    </row>
    <row r="13" spans="1:30" x14ac:dyDescent="0.25">
      <c r="A13" s="35">
        <v>12</v>
      </c>
      <c r="B13" s="35">
        <v>50</v>
      </c>
      <c r="C13">
        <v>5.85</v>
      </c>
      <c r="D13">
        <f>310579+546105</f>
        <v>856684</v>
      </c>
      <c r="E13">
        <v>5.63</v>
      </c>
      <c r="F13">
        <v>34.909999999999997</v>
      </c>
      <c r="G13">
        <v>63.93</v>
      </c>
      <c r="H13">
        <v>22.57</v>
      </c>
      <c r="I13">
        <v>10.32</v>
      </c>
      <c r="J13">
        <v>30.38</v>
      </c>
      <c r="K13">
        <v>0.73</v>
      </c>
      <c r="L13">
        <v>26.61</v>
      </c>
      <c r="M13">
        <v>1.56</v>
      </c>
      <c r="N13">
        <v>26.77</v>
      </c>
      <c r="O13">
        <v>1.23</v>
      </c>
      <c r="P13">
        <v>23864</v>
      </c>
      <c r="Q13" s="3">
        <v>14626377</v>
      </c>
      <c r="R13">
        <f t="shared" si="0"/>
        <v>1.6315728768648587</v>
      </c>
      <c r="S13">
        <v>62.68</v>
      </c>
      <c r="T13">
        <v>548025</v>
      </c>
      <c r="U13">
        <f t="shared" si="1"/>
        <v>3.7468267090339595</v>
      </c>
      <c r="V13">
        <f t="shared" si="2"/>
        <v>0.63970495538611671</v>
      </c>
      <c r="Y13">
        <v>488052</v>
      </c>
      <c r="Z13">
        <f t="shared" si="3"/>
        <v>3.336793520363929</v>
      </c>
      <c r="AA13">
        <f t="shared" si="4"/>
        <v>0.56969897885334619</v>
      </c>
      <c r="AB13" s="74">
        <v>41.59</v>
      </c>
      <c r="AC13">
        <v>27.01</v>
      </c>
      <c r="AD13">
        <v>1.1200000000000001</v>
      </c>
    </row>
    <row r="14" spans="1:30" x14ac:dyDescent="0.25">
      <c r="A14" s="15">
        <v>13</v>
      </c>
      <c r="B14" s="15">
        <v>60</v>
      </c>
      <c r="C14">
        <v>2.88</v>
      </c>
      <c r="D14">
        <f>103668+199518</f>
        <v>303186</v>
      </c>
      <c r="E14" s="3">
        <v>2.58</v>
      </c>
      <c r="F14">
        <v>26.16</v>
      </c>
      <c r="G14">
        <v>48.22</v>
      </c>
      <c r="H14">
        <v>22.85</v>
      </c>
      <c r="I14">
        <v>8.7200000000000006</v>
      </c>
      <c r="J14">
        <v>27.82</v>
      </c>
      <c r="K14">
        <v>0.64</v>
      </c>
      <c r="L14">
        <v>27.22</v>
      </c>
      <c r="M14">
        <v>1.26</v>
      </c>
      <c r="N14">
        <v>27.3</v>
      </c>
      <c r="O14">
        <v>1.02</v>
      </c>
      <c r="P14">
        <v>21354</v>
      </c>
      <c r="Q14" s="3">
        <v>10525726</v>
      </c>
      <c r="R14">
        <f t="shared" si="0"/>
        <v>2.0287436705078585</v>
      </c>
      <c r="S14">
        <v>46.72</v>
      </c>
      <c r="T14">
        <v>158668</v>
      </c>
      <c r="U14">
        <f t="shared" si="1"/>
        <v>1.5074304613287481</v>
      </c>
      <c r="V14">
        <f t="shared" si="2"/>
        <v>0.52333551021485158</v>
      </c>
      <c r="Y14">
        <v>146319</v>
      </c>
      <c r="Z14">
        <f t="shared" si="3"/>
        <v>1.390108387772967</v>
      </c>
      <c r="AA14">
        <f t="shared" si="4"/>
        <v>0.48260473768577705</v>
      </c>
      <c r="AB14" s="74">
        <v>24.93</v>
      </c>
      <c r="AC14">
        <v>27.15</v>
      </c>
      <c r="AD14">
        <v>1.05</v>
      </c>
    </row>
    <row r="15" spans="1:30" x14ac:dyDescent="0.25">
      <c r="A15" s="21">
        <v>14</v>
      </c>
      <c r="B15" s="21">
        <v>60</v>
      </c>
      <c r="C15">
        <v>9.9600000000000009</v>
      </c>
      <c r="D15">
        <f>659391+1034563</f>
        <v>1693954</v>
      </c>
      <c r="E15" s="3">
        <v>8.16</v>
      </c>
      <c r="F15">
        <v>35.270000000000003</v>
      </c>
      <c r="G15">
        <v>52.54</v>
      </c>
      <c r="H15">
        <v>22.26</v>
      </c>
      <c r="I15">
        <v>3.2</v>
      </c>
      <c r="J15">
        <v>28.16</v>
      </c>
      <c r="K15">
        <v>0.63</v>
      </c>
      <c r="L15">
        <v>27.5</v>
      </c>
      <c r="M15">
        <v>1.02</v>
      </c>
      <c r="N15">
        <v>27.26</v>
      </c>
      <c r="O15">
        <v>0.88</v>
      </c>
      <c r="P15">
        <v>24724</v>
      </c>
      <c r="Q15" s="3">
        <v>17005612</v>
      </c>
      <c r="R15">
        <f t="shared" si="0"/>
        <v>1.4538729920452143</v>
      </c>
      <c r="S15">
        <v>51.43</v>
      </c>
      <c r="T15">
        <v>1075681</v>
      </c>
      <c r="U15">
        <f t="shared" si="1"/>
        <v>6.3254471523871061</v>
      </c>
      <c r="V15">
        <f t="shared" si="2"/>
        <v>0.63501193066635808</v>
      </c>
      <c r="Y15">
        <v>895097</v>
      </c>
      <c r="Z15">
        <f t="shared" si="3"/>
        <v>5.263538883516806</v>
      </c>
      <c r="AA15">
        <f t="shared" si="4"/>
        <v>0.52840691069533174</v>
      </c>
      <c r="AB15" s="74">
        <v>30.76</v>
      </c>
      <c r="AC15">
        <v>27.02</v>
      </c>
      <c r="AD15">
        <v>1.0900000000000001</v>
      </c>
    </row>
    <row r="16" spans="1:30" x14ac:dyDescent="0.25">
      <c r="A16" s="25">
        <v>15</v>
      </c>
      <c r="B16" s="25">
        <v>75</v>
      </c>
      <c r="C16">
        <v>10.68</v>
      </c>
      <c r="D16">
        <f>1135681+1720904</f>
        <v>2856585</v>
      </c>
      <c r="E16" s="3">
        <v>7.15</v>
      </c>
      <c r="F16">
        <v>36.020000000000003</v>
      </c>
      <c r="G16">
        <v>49.83</v>
      </c>
      <c r="H16">
        <v>23.16</v>
      </c>
      <c r="I16">
        <v>2.2400000000000002</v>
      </c>
      <c r="J16">
        <v>28.62</v>
      </c>
      <c r="K16">
        <v>0.49</v>
      </c>
      <c r="L16">
        <v>27.87</v>
      </c>
      <c r="M16">
        <v>0.86</v>
      </c>
      <c r="N16">
        <v>27.56</v>
      </c>
      <c r="O16">
        <v>0.73</v>
      </c>
      <c r="P16">
        <v>25465</v>
      </c>
      <c r="Q16" s="3">
        <v>26736873</v>
      </c>
      <c r="R16">
        <f t="shared" si="0"/>
        <v>0.95243000181808846</v>
      </c>
      <c r="S16">
        <v>48.41</v>
      </c>
      <c r="T16">
        <v>2016722</v>
      </c>
      <c r="U16">
        <f t="shared" si="1"/>
        <v>7.542849158164457</v>
      </c>
      <c r="V16">
        <f t="shared" si="2"/>
        <v>0.7059905446538437</v>
      </c>
      <c r="Y16">
        <v>1694329</v>
      </c>
      <c r="Z16">
        <f t="shared" si="3"/>
        <v>6.33704996092849</v>
      </c>
      <c r="AA16">
        <f t="shared" si="4"/>
        <v>0.59313095881970956</v>
      </c>
      <c r="AB16" s="74">
        <v>30.76</v>
      </c>
      <c r="AC16" s="3">
        <v>27.07</v>
      </c>
      <c r="AD16" s="3">
        <v>1.06</v>
      </c>
    </row>
    <row r="17" spans="1:30" x14ac:dyDescent="0.25">
      <c r="A17" s="13">
        <v>16</v>
      </c>
      <c r="B17" s="13">
        <v>75</v>
      </c>
      <c r="C17">
        <v>6.3</v>
      </c>
      <c r="D17">
        <f>397066+663951</f>
        <v>1061017</v>
      </c>
      <c r="E17" s="3">
        <v>5.3</v>
      </c>
      <c r="F17">
        <v>37.56</v>
      </c>
      <c r="G17">
        <v>59.29</v>
      </c>
      <c r="H17">
        <v>22.3</v>
      </c>
      <c r="I17">
        <v>5.15</v>
      </c>
      <c r="J17">
        <v>27.89</v>
      </c>
      <c r="K17">
        <v>0.69</v>
      </c>
      <c r="L17">
        <v>27.15</v>
      </c>
      <c r="M17">
        <v>1.19</v>
      </c>
      <c r="N17">
        <v>27.19</v>
      </c>
      <c r="O17">
        <v>0.99</v>
      </c>
      <c r="P17">
        <v>24800</v>
      </c>
      <c r="Q17" s="3">
        <v>16832582</v>
      </c>
      <c r="R17">
        <f t="shared" si="0"/>
        <v>1.4733330869857042</v>
      </c>
      <c r="S17">
        <v>58</v>
      </c>
      <c r="T17">
        <v>640930</v>
      </c>
      <c r="U17">
        <f t="shared" si="1"/>
        <v>3.8076749009747881</v>
      </c>
      <c r="V17">
        <f t="shared" si="2"/>
        <v>0.60407137680169121</v>
      </c>
      <c r="Y17">
        <v>563235</v>
      </c>
      <c r="Z17">
        <f t="shared" si="3"/>
        <v>3.3460998437435205</v>
      </c>
      <c r="AA17">
        <f t="shared" si="4"/>
        <v>0.5308444633780609</v>
      </c>
      <c r="AB17" s="74">
        <v>35.42</v>
      </c>
      <c r="AC17" s="3">
        <v>27.01</v>
      </c>
      <c r="AD17" s="3">
        <v>1.08</v>
      </c>
    </row>
    <row r="18" spans="1:30" x14ac:dyDescent="0.25">
      <c r="A18" s="36">
        <v>17</v>
      </c>
      <c r="B18" s="36">
        <v>0</v>
      </c>
      <c r="C18">
        <v>3.57</v>
      </c>
      <c r="D18">
        <f>221515+542658</f>
        <v>764173</v>
      </c>
      <c r="E18" s="3">
        <v>2.95</v>
      </c>
      <c r="F18">
        <v>29.01</v>
      </c>
      <c r="G18">
        <v>62.61</v>
      </c>
      <c r="H18">
        <v>23.07</v>
      </c>
      <c r="I18">
        <v>13.67</v>
      </c>
      <c r="J18">
        <v>27.3</v>
      </c>
      <c r="K18">
        <v>0.95</v>
      </c>
      <c r="L18">
        <v>26.47</v>
      </c>
      <c r="M18">
        <v>2.14</v>
      </c>
      <c r="N18">
        <v>26.62</v>
      </c>
      <c r="O18">
        <v>1.67</v>
      </c>
      <c r="P18">
        <v>24250</v>
      </c>
      <c r="Q18" s="3">
        <v>21401244</v>
      </c>
      <c r="R18">
        <f t="shared" si="0"/>
        <v>1.1331117013571734</v>
      </c>
      <c r="S18">
        <v>61.35</v>
      </c>
      <c r="T18">
        <v>447604</v>
      </c>
      <c r="U18">
        <f t="shared" si="1"/>
        <v>2.0914858968011392</v>
      </c>
      <c r="V18">
        <f t="shared" si="2"/>
        <v>0.58573647590270794</v>
      </c>
      <c r="Y18">
        <v>440241</v>
      </c>
      <c r="Z18">
        <f t="shared" si="3"/>
        <v>2.0570813547100344</v>
      </c>
      <c r="AA18">
        <f t="shared" si="4"/>
        <v>0.57610122315234902</v>
      </c>
      <c r="AB18" s="74">
        <v>36.1</v>
      </c>
      <c r="AC18">
        <v>27.04</v>
      </c>
      <c r="AD18">
        <v>1.06</v>
      </c>
    </row>
    <row r="19" spans="1:30" x14ac:dyDescent="0.25">
      <c r="A19" s="27">
        <v>18</v>
      </c>
      <c r="B19" s="27">
        <v>0</v>
      </c>
      <c r="C19">
        <v>4.0199999999999996</v>
      </c>
      <c r="D19">
        <f>171917+331527</f>
        <v>503444</v>
      </c>
      <c r="E19" s="3">
        <v>3.59</v>
      </c>
      <c r="F19">
        <v>34.28</v>
      </c>
      <c r="G19">
        <v>64.260000000000005</v>
      </c>
      <c r="H19">
        <v>23.2</v>
      </c>
      <c r="I19">
        <v>16.21</v>
      </c>
      <c r="J19">
        <v>27.22</v>
      </c>
      <c r="K19">
        <v>0.98</v>
      </c>
      <c r="L19">
        <v>26.18</v>
      </c>
      <c r="M19">
        <v>2.1800000000000002</v>
      </c>
      <c r="N19">
        <v>26.44</v>
      </c>
      <c r="O19">
        <v>1.68</v>
      </c>
      <c r="P19">
        <v>23026</v>
      </c>
      <c r="Q19" s="3">
        <v>12531882</v>
      </c>
      <c r="R19">
        <f t="shared" si="0"/>
        <v>1.8373936173353691</v>
      </c>
      <c r="S19">
        <v>62.77</v>
      </c>
      <c r="T19">
        <v>320876</v>
      </c>
      <c r="U19">
        <f t="shared" si="1"/>
        <v>2.5604773488930075</v>
      </c>
      <c r="V19">
        <f t="shared" si="2"/>
        <v>0.63736185156641056</v>
      </c>
      <c r="Y19">
        <v>286934</v>
      </c>
      <c r="Z19">
        <f t="shared" si="3"/>
        <v>2.2896321558086807</v>
      </c>
      <c r="AA19">
        <f t="shared" si="4"/>
        <v>0.56994223786558185</v>
      </c>
      <c r="AB19" s="74">
        <v>40.33</v>
      </c>
      <c r="AC19">
        <v>26.99</v>
      </c>
      <c r="AD19">
        <v>1.0900000000000001</v>
      </c>
    </row>
    <row r="20" spans="1:30" x14ac:dyDescent="0.25">
      <c r="A20" s="4">
        <v>19</v>
      </c>
      <c r="B20" s="4">
        <v>50</v>
      </c>
      <c r="C20">
        <v>5.66</v>
      </c>
      <c r="D20">
        <f>310141+642233</f>
        <v>952374</v>
      </c>
      <c r="E20" s="3">
        <v>4.79</v>
      </c>
      <c r="F20">
        <v>36.99</v>
      </c>
      <c r="G20">
        <v>62.83</v>
      </c>
      <c r="H20">
        <v>23</v>
      </c>
      <c r="I20">
        <v>7.44</v>
      </c>
      <c r="J20">
        <v>27.66</v>
      </c>
      <c r="K20">
        <v>0.93</v>
      </c>
      <c r="L20">
        <v>26.83</v>
      </c>
      <c r="M20">
        <v>1.65</v>
      </c>
      <c r="N20">
        <v>26.96</v>
      </c>
      <c r="O20">
        <v>1.37</v>
      </c>
      <c r="P20">
        <v>24036</v>
      </c>
      <c r="Q20" s="3">
        <v>16838842</v>
      </c>
      <c r="R20">
        <f t="shared" si="0"/>
        <v>1.4274140703974774</v>
      </c>
      <c r="S20">
        <v>61.4</v>
      </c>
      <c r="T20">
        <v>614024</v>
      </c>
      <c r="U20">
        <f t="shared" si="1"/>
        <v>3.6464740271332197</v>
      </c>
      <c r="V20">
        <f t="shared" si="2"/>
        <v>0.64472990652831763</v>
      </c>
      <c r="Y20">
        <v>552241</v>
      </c>
      <c r="Z20">
        <f t="shared" si="3"/>
        <v>3.2795663739822492</v>
      </c>
      <c r="AA20">
        <f t="shared" si="4"/>
        <v>0.57985728295816563</v>
      </c>
      <c r="AB20" s="74">
        <v>37.4</v>
      </c>
      <c r="AC20">
        <v>26.99</v>
      </c>
      <c r="AD20">
        <v>1.06</v>
      </c>
    </row>
    <row r="21" spans="1:30" x14ac:dyDescent="0.25">
      <c r="A21" s="19">
        <v>20</v>
      </c>
      <c r="B21" s="19">
        <v>50</v>
      </c>
      <c r="C21">
        <v>5.41</v>
      </c>
      <c r="D21">
        <f>102718+208952</f>
        <v>311670</v>
      </c>
      <c r="E21" s="3">
        <v>5.14</v>
      </c>
      <c r="F21">
        <v>33.950000000000003</v>
      </c>
      <c r="G21">
        <v>58.15</v>
      </c>
      <c r="H21">
        <v>23.17</v>
      </c>
      <c r="I21">
        <v>6.32</v>
      </c>
      <c r="J21">
        <v>28.01</v>
      </c>
      <c r="K21">
        <v>0.72</v>
      </c>
      <c r="L21">
        <v>26.93</v>
      </c>
      <c r="M21">
        <v>1.53</v>
      </c>
      <c r="N21">
        <v>27.14</v>
      </c>
      <c r="O21">
        <v>1.19</v>
      </c>
      <c r="P21">
        <v>19579</v>
      </c>
      <c r="Q21" s="3">
        <v>5763396</v>
      </c>
      <c r="R21">
        <f t="shared" si="0"/>
        <v>3.3971290537731575</v>
      </c>
      <c r="S21">
        <v>56.86</v>
      </c>
      <c r="T21">
        <v>189241</v>
      </c>
      <c r="U21">
        <f t="shared" si="1"/>
        <v>3.2834981320041172</v>
      </c>
      <c r="V21">
        <f t="shared" si="2"/>
        <v>0.607183880386306</v>
      </c>
      <c r="Y21">
        <v>167939</v>
      </c>
      <c r="Z21">
        <f t="shared" si="3"/>
        <v>2.9138896581112941</v>
      </c>
      <c r="AA21">
        <f t="shared" si="4"/>
        <v>0.53883594827862802</v>
      </c>
      <c r="AB21" s="74">
        <v>37.369999999999997</v>
      </c>
      <c r="AC21">
        <v>27.03</v>
      </c>
      <c r="AD21">
        <v>1.0900000000000001</v>
      </c>
    </row>
    <row r="22" spans="1:30" x14ac:dyDescent="0.25">
      <c r="A22" s="20">
        <v>21</v>
      </c>
      <c r="B22" s="20">
        <v>60</v>
      </c>
      <c r="C22">
        <v>6.59</v>
      </c>
      <c r="D22">
        <f>389224+937549</f>
        <v>1326773</v>
      </c>
      <c r="E22" s="3">
        <v>6.29</v>
      </c>
      <c r="F22">
        <v>33.299999999999997</v>
      </c>
      <c r="G22">
        <v>58.96</v>
      </c>
      <c r="H22">
        <v>23.44</v>
      </c>
      <c r="I22">
        <v>5.07</v>
      </c>
      <c r="J22">
        <v>28.12</v>
      </c>
      <c r="K22">
        <v>0.7</v>
      </c>
      <c r="L22">
        <v>27.1</v>
      </c>
      <c r="M22">
        <v>1.48</v>
      </c>
      <c r="N22">
        <v>27.25</v>
      </c>
      <c r="O22">
        <v>1.1599999999999999</v>
      </c>
      <c r="P22">
        <v>25220</v>
      </c>
      <c r="Q22" s="3">
        <v>20135668</v>
      </c>
      <c r="R22">
        <f t="shared" si="0"/>
        <v>1.2525037659540275</v>
      </c>
      <c r="S22">
        <v>57.79</v>
      </c>
      <c r="T22">
        <v>832754</v>
      </c>
      <c r="U22">
        <f t="shared" si="1"/>
        <v>4.1357157855403655</v>
      </c>
      <c r="V22">
        <f t="shared" si="2"/>
        <v>0.62765371318228513</v>
      </c>
      <c r="Y22">
        <v>748434</v>
      </c>
      <c r="Z22">
        <f t="shared" si="3"/>
        <v>3.71695639797001</v>
      </c>
      <c r="AA22">
        <f t="shared" si="4"/>
        <v>0.56410101803398172</v>
      </c>
      <c r="AB22" s="74">
        <v>36.29</v>
      </c>
      <c r="AC22">
        <v>27.07</v>
      </c>
      <c r="AD22">
        <v>1.05</v>
      </c>
    </row>
    <row r="23" spans="1:30" x14ac:dyDescent="0.25">
      <c r="A23" s="2">
        <v>22</v>
      </c>
      <c r="B23" s="2">
        <v>60</v>
      </c>
      <c r="C23">
        <v>16.23</v>
      </c>
      <c r="D23">
        <f>1415608+2225710</f>
        <v>3641318</v>
      </c>
      <c r="E23" s="3">
        <v>11.82</v>
      </c>
      <c r="F23">
        <v>23.47</v>
      </c>
      <c r="G23">
        <v>29.95</v>
      </c>
      <c r="H23">
        <v>24.2</v>
      </c>
      <c r="I23">
        <v>1.52</v>
      </c>
      <c r="J23">
        <v>28.82</v>
      </c>
      <c r="K23">
        <v>0.44</v>
      </c>
      <c r="L23">
        <v>28.48</v>
      </c>
      <c r="M23">
        <v>0.61</v>
      </c>
      <c r="N23">
        <v>27.63</v>
      </c>
      <c r="O23">
        <v>0.6</v>
      </c>
      <c r="P23">
        <v>27358</v>
      </c>
      <c r="Q23" s="3">
        <v>25828071</v>
      </c>
      <c r="R23">
        <f t="shared" si="0"/>
        <v>1.0592351244504477</v>
      </c>
      <c r="S23">
        <v>27.21</v>
      </c>
      <c r="T23">
        <v>2277815</v>
      </c>
      <c r="U23">
        <f t="shared" si="1"/>
        <v>8.8191448753567396</v>
      </c>
      <c r="V23">
        <f t="shared" si="2"/>
        <v>0.6255468486959942</v>
      </c>
      <c r="Y23">
        <v>1959646</v>
      </c>
      <c r="Z23">
        <f t="shared" si="3"/>
        <v>7.5872720033950651</v>
      </c>
      <c r="AA23">
        <f t="shared" si="4"/>
        <v>0.53816942107226007</v>
      </c>
      <c r="AB23" s="74">
        <v>16.84</v>
      </c>
      <c r="AC23">
        <v>27.02</v>
      </c>
      <c r="AD23">
        <v>1.06</v>
      </c>
    </row>
    <row r="24" spans="1:30" x14ac:dyDescent="0.25">
      <c r="A24" s="24">
        <v>23</v>
      </c>
      <c r="B24" s="24">
        <v>75</v>
      </c>
      <c r="C24">
        <v>11.53</v>
      </c>
      <c r="D24">
        <f>183829+273544</f>
        <v>457373</v>
      </c>
      <c r="E24" s="3">
        <v>10.78</v>
      </c>
      <c r="F24">
        <v>33.909999999999997</v>
      </c>
      <c r="G24">
        <v>49.23</v>
      </c>
      <c r="H24">
        <v>22.16</v>
      </c>
      <c r="I24">
        <v>2.4500000000000002</v>
      </c>
      <c r="J24">
        <v>29.15</v>
      </c>
      <c r="K24">
        <v>0.31</v>
      </c>
      <c r="L24">
        <v>27.94</v>
      </c>
      <c r="M24">
        <v>0.75</v>
      </c>
      <c r="N24">
        <v>27.59</v>
      </c>
      <c r="O24">
        <v>0.57999999999999996</v>
      </c>
      <c r="P24">
        <v>17865</v>
      </c>
      <c r="Q24" s="3">
        <f>795203+1468550</f>
        <v>2263753</v>
      </c>
      <c r="R24">
        <f t="shared" si="0"/>
        <v>7.8917620429437303</v>
      </c>
      <c r="S24">
        <v>47.09</v>
      </c>
      <c r="T24">
        <v>285948</v>
      </c>
      <c r="U24">
        <f t="shared" si="1"/>
        <v>12.631590107224596</v>
      </c>
      <c r="V24">
        <f t="shared" si="2"/>
        <v>0.62519650263570437</v>
      </c>
      <c r="Y24">
        <v>212267</v>
      </c>
      <c r="Z24">
        <f t="shared" si="3"/>
        <v>9.3767738794824353</v>
      </c>
      <c r="AA24">
        <f t="shared" si="4"/>
        <v>0.46410041694634357</v>
      </c>
      <c r="AB24" s="74">
        <v>32.049999999999997</v>
      </c>
      <c r="AC24" s="3">
        <v>27.21</v>
      </c>
      <c r="AD24" s="3">
        <v>1.04</v>
      </c>
    </row>
    <row r="25" spans="1:30" x14ac:dyDescent="0.25">
      <c r="A25" s="31">
        <v>24</v>
      </c>
      <c r="B25" s="31">
        <v>75</v>
      </c>
      <c r="C25">
        <v>6.7</v>
      </c>
      <c r="D25">
        <f>23714+44769</f>
        <v>68483</v>
      </c>
      <c r="E25" s="3">
        <v>7.87</v>
      </c>
      <c r="F25">
        <v>14.69</v>
      </c>
      <c r="G25">
        <v>19.13</v>
      </c>
      <c r="H25">
        <v>22.48</v>
      </c>
      <c r="I25">
        <v>1.91</v>
      </c>
      <c r="J25">
        <v>29</v>
      </c>
      <c r="K25">
        <v>0.41</v>
      </c>
      <c r="L25">
        <v>28.4</v>
      </c>
      <c r="M25">
        <v>0.64</v>
      </c>
      <c r="N25">
        <v>27.82</v>
      </c>
      <c r="O25">
        <v>0.56999999999999995</v>
      </c>
      <c r="P25">
        <v>10684</v>
      </c>
      <c r="Q25" s="3">
        <v>1021786</v>
      </c>
      <c r="R25">
        <f t="shared" si="0"/>
        <v>10.456201200642797</v>
      </c>
      <c r="S25">
        <v>18.39</v>
      </c>
      <c r="T25">
        <v>34953</v>
      </c>
      <c r="U25">
        <f t="shared" si="1"/>
        <v>3.4207749959384843</v>
      </c>
      <c r="V25">
        <f t="shared" si="2"/>
        <v>0.51038943971496575</v>
      </c>
      <c r="Y25">
        <v>27604</v>
      </c>
      <c r="Z25">
        <f t="shared" si="3"/>
        <v>2.7015441589530487</v>
      </c>
      <c r="AA25">
        <f t="shared" si="4"/>
        <v>0.40307813617978183</v>
      </c>
      <c r="AB25" s="74">
        <v>11.9</v>
      </c>
      <c r="AC25" s="3">
        <v>27.55</v>
      </c>
      <c r="AD25" s="3">
        <v>1.04</v>
      </c>
    </row>
    <row r="26" spans="1:30" x14ac:dyDescent="0.25">
      <c r="A26" s="14">
        <v>25</v>
      </c>
      <c r="B26" s="14">
        <v>0</v>
      </c>
      <c r="C26">
        <v>2.58</v>
      </c>
      <c r="D26">
        <f>156496+268414</f>
        <v>424910</v>
      </c>
      <c r="E26" s="3">
        <v>1.51</v>
      </c>
      <c r="F26">
        <v>26.26</v>
      </c>
      <c r="G26">
        <v>50.5</v>
      </c>
      <c r="H26">
        <v>23.69</v>
      </c>
      <c r="I26">
        <v>6.99</v>
      </c>
      <c r="J26">
        <v>27.83</v>
      </c>
      <c r="K26">
        <v>0.72</v>
      </c>
      <c r="L26">
        <v>27.2</v>
      </c>
      <c r="M26">
        <v>1.62</v>
      </c>
      <c r="N26">
        <v>27.29</v>
      </c>
      <c r="O26">
        <v>1.25</v>
      </c>
      <c r="P26">
        <v>28824</v>
      </c>
      <c r="Q26" s="3">
        <v>16492156</v>
      </c>
      <c r="R26">
        <f t="shared" si="0"/>
        <v>1.7477399558917583</v>
      </c>
      <c r="S26">
        <v>49.42</v>
      </c>
      <c r="T26">
        <v>263990</v>
      </c>
      <c r="U26">
        <f t="shared" si="1"/>
        <v>1.600700357187987</v>
      </c>
      <c r="V26">
        <f t="shared" si="2"/>
        <v>0.62128450730742979</v>
      </c>
      <c r="Y26">
        <v>234941</v>
      </c>
      <c r="Z26">
        <f t="shared" si="3"/>
        <v>1.4245620766623843</v>
      </c>
      <c r="AA26">
        <f t="shared" si="4"/>
        <v>0.55291944176413832</v>
      </c>
      <c r="AB26" s="74">
        <v>25.77</v>
      </c>
      <c r="AC26">
        <v>27.07</v>
      </c>
      <c r="AD26">
        <v>1.06</v>
      </c>
    </row>
    <row r="27" spans="1:30" x14ac:dyDescent="0.25">
      <c r="A27" s="46">
        <v>26</v>
      </c>
      <c r="B27" s="46">
        <v>0</v>
      </c>
      <c r="C27">
        <v>3.98</v>
      </c>
      <c r="D27">
        <f>139311+195582</f>
        <v>334893</v>
      </c>
      <c r="E27" s="3">
        <v>2.71</v>
      </c>
      <c r="F27">
        <v>30.36</v>
      </c>
      <c r="G27">
        <v>64.040000000000006</v>
      </c>
      <c r="H27">
        <v>23.25</v>
      </c>
      <c r="I27">
        <v>5.28</v>
      </c>
      <c r="J27">
        <v>27.61</v>
      </c>
      <c r="K27">
        <v>0.83</v>
      </c>
      <c r="L27">
        <v>26.88</v>
      </c>
      <c r="M27">
        <v>1.78</v>
      </c>
      <c r="N27">
        <v>26.98</v>
      </c>
      <c r="O27">
        <v>1.38</v>
      </c>
      <c r="P27">
        <v>19414</v>
      </c>
      <c r="Q27" s="3">
        <f>6341039+2071811</f>
        <v>8412850</v>
      </c>
      <c r="R27">
        <f t="shared" si="0"/>
        <v>2.3076603053661957</v>
      </c>
      <c r="S27">
        <v>62.62</v>
      </c>
      <c r="T27">
        <v>206805</v>
      </c>
      <c r="U27">
        <f t="shared" si="1"/>
        <v>2.4582038191575983</v>
      </c>
      <c r="V27">
        <f t="shared" si="2"/>
        <v>0.61752559772822957</v>
      </c>
      <c r="Y27">
        <v>188197</v>
      </c>
      <c r="Z27">
        <f t="shared" si="3"/>
        <v>2.2370183707067164</v>
      </c>
      <c r="AA27">
        <f t="shared" si="4"/>
        <v>0.56196158175894984</v>
      </c>
      <c r="AB27" s="74">
        <v>34.090000000000003</v>
      </c>
      <c r="AC27">
        <v>26.99</v>
      </c>
      <c r="AD27">
        <v>1.05</v>
      </c>
    </row>
    <row r="28" spans="1:30" x14ac:dyDescent="0.25">
      <c r="A28" s="33">
        <v>27</v>
      </c>
      <c r="B28" s="33">
        <v>50</v>
      </c>
      <c r="C28">
        <v>4.99</v>
      </c>
      <c r="D28">
        <f>304126+707524</f>
        <v>1011650</v>
      </c>
      <c r="E28" s="3">
        <v>5.73</v>
      </c>
      <c r="F28">
        <v>31.21</v>
      </c>
      <c r="G28">
        <v>60.6</v>
      </c>
      <c r="H28">
        <v>22.81</v>
      </c>
      <c r="I28">
        <v>12.66</v>
      </c>
      <c r="J28">
        <v>27.03</v>
      </c>
      <c r="K28">
        <v>1.1299999999999999</v>
      </c>
      <c r="L28">
        <v>26.3</v>
      </c>
      <c r="M28">
        <v>2.08</v>
      </c>
      <c r="N28">
        <v>26.42</v>
      </c>
      <c r="O28">
        <v>1.71</v>
      </c>
      <c r="P28">
        <v>28824</v>
      </c>
      <c r="Q28" s="3">
        <v>20277265</v>
      </c>
      <c r="R28">
        <f t="shared" si="0"/>
        <v>1.4214934805063701</v>
      </c>
      <c r="S28">
        <v>59.06</v>
      </c>
      <c r="T28">
        <v>600490</v>
      </c>
      <c r="U28">
        <f t="shared" si="1"/>
        <v>2.9613954347393499</v>
      </c>
      <c r="V28">
        <f t="shared" si="2"/>
        <v>0.59357485296298129</v>
      </c>
      <c r="Y28">
        <v>525099</v>
      </c>
      <c r="Z28">
        <f t="shared" si="3"/>
        <v>2.5895947998904192</v>
      </c>
      <c r="AA28">
        <f t="shared" si="4"/>
        <v>0.51905204369099989</v>
      </c>
      <c r="AB28" s="74">
        <v>35.89</v>
      </c>
      <c r="AC28">
        <v>27.03</v>
      </c>
      <c r="AD28">
        <v>1.07</v>
      </c>
    </row>
    <row r="29" spans="1:30" x14ac:dyDescent="0.25">
      <c r="A29" s="2">
        <v>28</v>
      </c>
      <c r="B29" s="2">
        <v>50</v>
      </c>
      <c r="C29">
        <v>3.51</v>
      </c>
      <c r="D29">
        <f>294031+613615</f>
        <v>907646</v>
      </c>
      <c r="E29" s="3">
        <v>2.4300000000000002</v>
      </c>
      <c r="F29">
        <v>30.83</v>
      </c>
      <c r="G29">
        <v>57.42</v>
      </c>
      <c r="H29">
        <v>23.74</v>
      </c>
      <c r="I29">
        <v>6.91</v>
      </c>
      <c r="J29">
        <v>27.84</v>
      </c>
      <c r="K29">
        <v>0.72</v>
      </c>
      <c r="L29">
        <v>26.59</v>
      </c>
      <c r="M29">
        <v>2.0499999999999998</v>
      </c>
      <c r="N29">
        <v>26.87</v>
      </c>
      <c r="O29">
        <v>1.47</v>
      </c>
      <c r="P29">
        <v>25364</v>
      </c>
      <c r="Q29" s="3">
        <v>22438763</v>
      </c>
      <c r="R29">
        <f t="shared" si="0"/>
        <v>1.1303653414406134</v>
      </c>
      <c r="S29">
        <v>56.46</v>
      </c>
      <c r="T29">
        <v>554402</v>
      </c>
      <c r="U29">
        <f t="shared" si="1"/>
        <v>2.4707333465752992</v>
      </c>
      <c r="V29">
        <f t="shared" si="2"/>
        <v>0.61081302622388023</v>
      </c>
      <c r="Y29">
        <v>497044</v>
      </c>
      <c r="Z29">
        <f t="shared" si="3"/>
        <v>2.2151131949653373</v>
      </c>
      <c r="AA29">
        <f t="shared" si="4"/>
        <v>0.54761878529735164</v>
      </c>
      <c r="AB29" s="74">
        <v>36.21</v>
      </c>
      <c r="AC29">
        <v>27.05</v>
      </c>
      <c r="AD29">
        <v>1.0900000000000001</v>
      </c>
    </row>
    <row r="30" spans="1:30" x14ac:dyDescent="0.25">
      <c r="A30" s="19">
        <v>29</v>
      </c>
      <c r="B30" s="19">
        <v>60</v>
      </c>
      <c r="C30">
        <v>6.1</v>
      </c>
      <c r="D30">
        <f>632494+1361938</f>
        <v>1994432</v>
      </c>
      <c r="E30" s="3">
        <v>5.0599999999999996</v>
      </c>
      <c r="F30">
        <v>35.71</v>
      </c>
      <c r="G30">
        <v>60.45</v>
      </c>
      <c r="H30">
        <v>23.45</v>
      </c>
      <c r="I30">
        <v>4.8099999999999996</v>
      </c>
      <c r="J30">
        <v>27.79</v>
      </c>
      <c r="K30">
        <v>0.94</v>
      </c>
      <c r="L30">
        <v>27.23</v>
      </c>
      <c r="M30">
        <v>1.48</v>
      </c>
      <c r="N30">
        <v>27.24</v>
      </c>
      <c r="O30">
        <v>1.28</v>
      </c>
      <c r="P30">
        <v>26738</v>
      </c>
      <c r="Q30" s="3">
        <v>32716954</v>
      </c>
      <c r="R30">
        <f t="shared" si="0"/>
        <v>0.81725211949743248</v>
      </c>
      <c r="S30">
        <v>58.99</v>
      </c>
      <c r="T30">
        <v>1239502</v>
      </c>
      <c r="U30">
        <f t="shared" si="1"/>
        <v>3.7885617346896048</v>
      </c>
      <c r="V30">
        <f t="shared" si="2"/>
        <v>0.62148120367102011</v>
      </c>
      <c r="Y30">
        <v>1109919</v>
      </c>
      <c r="Z30">
        <f t="shared" si="3"/>
        <v>3.3924887995380009</v>
      </c>
      <c r="AA30">
        <f t="shared" si="4"/>
        <v>0.55650882055642914</v>
      </c>
      <c r="AB30" s="74">
        <v>30.9</v>
      </c>
      <c r="AC30">
        <v>27.04</v>
      </c>
      <c r="AD30">
        <v>1.08</v>
      </c>
    </row>
    <row r="31" spans="1:30" x14ac:dyDescent="0.25">
      <c r="A31" s="27">
        <v>30</v>
      </c>
      <c r="B31" s="27">
        <v>60</v>
      </c>
      <c r="C31">
        <v>6.37</v>
      </c>
      <c r="D31">
        <f>295370+654308</f>
        <v>949678</v>
      </c>
      <c r="E31" s="3">
        <v>6.77</v>
      </c>
      <c r="F31">
        <v>31.51</v>
      </c>
      <c r="G31">
        <v>55.09</v>
      </c>
      <c r="H31">
        <v>22.68</v>
      </c>
      <c r="I31">
        <v>7.05</v>
      </c>
      <c r="J31">
        <v>27.46</v>
      </c>
      <c r="K31">
        <v>0.88</v>
      </c>
      <c r="L31">
        <v>26.68</v>
      </c>
      <c r="M31">
        <v>1.59</v>
      </c>
      <c r="N31">
        <v>26.77</v>
      </c>
      <c r="O31">
        <v>1.31</v>
      </c>
      <c r="P31">
        <v>24842</v>
      </c>
      <c r="Q31" s="3">
        <v>14915986</v>
      </c>
      <c r="R31">
        <f t="shared" si="0"/>
        <v>1.6654614720072813</v>
      </c>
      <c r="S31">
        <v>53.53</v>
      </c>
      <c r="T31">
        <v>543802</v>
      </c>
      <c r="U31">
        <f t="shared" si="1"/>
        <v>3.6457663610035573</v>
      </c>
      <c r="V31">
        <f t="shared" si="2"/>
        <v>0.57261724500304312</v>
      </c>
      <c r="Y31">
        <v>486988</v>
      </c>
      <c r="Z31">
        <f t="shared" si="3"/>
        <v>3.2648730026965702</v>
      </c>
      <c r="AA31">
        <f t="shared" si="4"/>
        <v>0.51279275712399364</v>
      </c>
      <c r="AB31" s="74">
        <v>33.97</v>
      </c>
      <c r="AC31">
        <v>27.08</v>
      </c>
      <c r="AD31">
        <v>1.08</v>
      </c>
    </row>
    <row r="32" spans="1:30" x14ac:dyDescent="0.25">
      <c r="A32" s="4">
        <v>31</v>
      </c>
      <c r="B32" s="4">
        <v>75</v>
      </c>
      <c r="C32">
        <v>10.95</v>
      </c>
      <c r="D32">
        <f>533232+779619</f>
        <v>1312851</v>
      </c>
      <c r="E32" s="3">
        <v>8.5399999999999991</v>
      </c>
      <c r="F32">
        <v>34.92</v>
      </c>
      <c r="G32">
        <v>45.73</v>
      </c>
      <c r="H32">
        <v>23.47</v>
      </c>
      <c r="I32">
        <v>2.06</v>
      </c>
      <c r="J32">
        <v>28.8</v>
      </c>
      <c r="K32">
        <v>0.48</v>
      </c>
      <c r="L32">
        <v>27.8</v>
      </c>
      <c r="M32">
        <v>0.91</v>
      </c>
      <c r="N32">
        <v>27.61</v>
      </c>
      <c r="O32">
        <v>0.74</v>
      </c>
      <c r="P32">
        <v>23058</v>
      </c>
      <c r="Q32" s="3">
        <v>11987351</v>
      </c>
      <c r="R32">
        <f t="shared" si="0"/>
        <v>1.9235275583404541</v>
      </c>
      <c r="S32">
        <v>44.51</v>
      </c>
      <c r="T32">
        <v>889764</v>
      </c>
      <c r="U32">
        <f t="shared" si="1"/>
        <v>7.4225239587962344</v>
      </c>
      <c r="V32">
        <f t="shared" si="2"/>
        <v>0.67773418308703726</v>
      </c>
      <c r="W32" s="3"/>
      <c r="X32" s="3"/>
      <c r="Y32" s="3">
        <v>716352</v>
      </c>
      <c r="Z32">
        <f t="shared" si="3"/>
        <v>5.9758990956383942</v>
      </c>
      <c r="AA32">
        <f t="shared" si="4"/>
        <v>0.54564607864868142</v>
      </c>
      <c r="AB32" s="74">
        <v>28.94</v>
      </c>
      <c r="AC32" s="3">
        <v>27.14</v>
      </c>
      <c r="AD32" s="3">
        <v>1.07</v>
      </c>
    </row>
    <row r="33" spans="1:30" x14ac:dyDescent="0.25">
      <c r="A33" s="28">
        <v>32</v>
      </c>
      <c r="B33" s="28">
        <v>75</v>
      </c>
      <c r="C33">
        <v>12.77</v>
      </c>
      <c r="D33">
        <f>1277565+1932951</f>
        <v>3210516</v>
      </c>
      <c r="E33" s="3">
        <v>10.99</v>
      </c>
      <c r="F33">
        <v>34.08</v>
      </c>
      <c r="G33">
        <v>47.69</v>
      </c>
      <c r="H33">
        <v>22.44</v>
      </c>
      <c r="I33">
        <v>2.5</v>
      </c>
      <c r="J33">
        <v>28.6</v>
      </c>
      <c r="K33">
        <v>0.47</v>
      </c>
      <c r="L33">
        <v>27.8</v>
      </c>
      <c r="M33">
        <v>0.8</v>
      </c>
      <c r="N33">
        <v>27.35</v>
      </c>
      <c r="O33">
        <v>0.7</v>
      </c>
      <c r="P33">
        <v>25801</v>
      </c>
      <c r="Q33" s="3">
        <v>25142157</v>
      </c>
      <c r="R33">
        <f t="shared" si="0"/>
        <v>1.0262047126664591</v>
      </c>
      <c r="S33">
        <v>46.46</v>
      </c>
      <c r="T33">
        <v>2162219</v>
      </c>
      <c r="U33">
        <f t="shared" si="1"/>
        <v>8.5999741390525877</v>
      </c>
      <c r="V33">
        <f t="shared" si="2"/>
        <v>0.67348021314953732</v>
      </c>
      <c r="Y33">
        <v>1736479</v>
      </c>
      <c r="Z33">
        <f t="shared" si="3"/>
        <v>6.9066428946410605</v>
      </c>
      <c r="AA33">
        <f t="shared" si="4"/>
        <v>0.54087224608131523</v>
      </c>
      <c r="AB33" s="74">
        <v>29.03</v>
      </c>
      <c r="AC33" s="3">
        <v>27.11</v>
      </c>
      <c r="AD33" s="3">
        <v>1.08</v>
      </c>
    </row>
    <row r="34" spans="1:30" x14ac:dyDescent="0.25">
      <c r="A34" s="22">
        <v>33</v>
      </c>
      <c r="B34" s="22">
        <v>0</v>
      </c>
      <c r="C34">
        <v>8.17</v>
      </c>
      <c r="D34">
        <f>47546+81280</f>
        <v>128826</v>
      </c>
      <c r="E34" s="3">
        <v>10.52</v>
      </c>
      <c r="F34">
        <v>16.77</v>
      </c>
      <c r="G34">
        <v>36.82</v>
      </c>
      <c r="H34">
        <v>21.08</v>
      </c>
      <c r="I34">
        <v>6.41</v>
      </c>
      <c r="J34">
        <v>27.44</v>
      </c>
      <c r="K34">
        <v>0.77</v>
      </c>
      <c r="L34">
        <v>26.43</v>
      </c>
      <c r="M34">
        <v>1.94</v>
      </c>
      <c r="N34">
        <v>26.32</v>
      </c>
      <c r="O34">
        <v>1.48</v>
      </c>
      <c r="P34">
        <v>15662</v>
      </c>
      <c r="Q34" s="3">
        <f>2498584+780668</f>
        <v>3279252</v>
      </c>
      <c r="R34">
        <f t="shared" si="0"/>
        <v>4.7760891813132993</v>
      </c>
      <c r="S34">
        <v>35.729999999999997</v>
      </c>
      <c r="T34">
        <v>39875</v>
      </c>
      <c r="U34">
        <f t="shared" si="1"/>
        <v>1.2159785219312209</v>
      </c>
      <c r="V34">
        <f t="shared" si="2"/>
        <v>0.30952602735472651</v>
      </c>
      <c r="Y34">
        <v>35302</v>
      </c>
      <c r="Z34">
        <f t="shared" si="3"/>
        <v>1.0765259882436604</v>
      </c>
      <c r="AA34">
        <f t="shared" si="4"/>
        <v>0.2740285346125782</v>
      </c>
      <c r="AB34" s="74">
        <v>21.46</v>
      </c>
      <c r="AC34">
        <v>26.86</v>
      </c>
      <c r="AD34">
        <v>1.2</v>
      </c>
    </row>
    <row r="35" spans="1:30" x14ac:dyDescent="0.25">
      <c r="A35" s="13">
        <v>34</v>
      </c>
      <c r="B35" s="13">
        <v>0</v>
      </c>
      <c r="C35">
        <v>4.1399999999999997</v>
      </c>
      <c r="D35">
        <f>139580+275957</f>
        <v>415537</v>
      </c>
      <c r="E35" s="3">
        <v>3.4</v>
      </c>
      <c r="F35">
        <v>31.83</v>
      </c>
      <c r="G35">
        <v>58.45</v>
      </c>
      <c r="H35">
        <v>22.71</v>
      </c>
      <c r="I35">
        <v>17.7</v>
      </c>
      <c r="J35">
        <v>27.37</v>
      </c>
      <c r="K35">
        <v>0.74</v>
      </c>
      <c r="L35">
        <v>26.32</v>
      </c>
      <c r="M35">
        <v>1.67</v>
      </c>
      <c r="N35">
        <v>26.58</v>
      </c>
      <c r="O35">
        <v>1.29</v>
      </c>
      <c r="P35">
        <v>21181</v>
      </c>
      <c r="Q35" s="3">
        <v>10040927</v>
      </c>
      <c r="R35">
        <f t="shared" si="0"/>
        <v>2.1094665861030562</v>
      </c>
      <c r="S35">
        <v>57.74</v>
      </c>
      <c r="T35">
        <v>277485</v>
      </c>
      <c r="U35">
        <f t="shared" si="1"/>
        <v>2.7635396612284904</v>
      </c>
      <c r="V35">
        <f t="shared" si="2"/>
        <v>0.66777447014345293</v>
      </c>
      <c r="W35">
        <f>AVERAGE(T26:T35)</f>
        <v>677833.4</v>
      </c>
      <c r="X35">
        <f>AVERAGE(Q26:Q35)</f>
        <v>16570366.1</v>
      </c>
      <c r="Y35">
        <v>248096</v>
      </c>
      <c r="Z35">
        <f t="shared" si="3"/>
        <v>2.4708475621822568</v>
      </c>
      <c r="AA35">
        <f t="shared" si="4"/>
        <v>0.59704911957298623</v>
      </c>
      <c r="AB35" s="74">
        <v>38.04</v>
      </c>
      <c r="AC35">
        <v>26.91</v>
      </c>
      <c r="AD35">
        <v>1.1100000000000001</v>
      </c>
    </row>
    <row r="36" spans="1:30" x14ac:dyDescent="0.25">
      <c r="A36" s="26">
        <v>35</v>
      </c>
      <c r="B36" s="26">
        <v>50</v>
      </c>
      <c r="C36">
        <v>5.63</v>
      </c>
      <c r="D36">
        <f>289011+480936</f>
        <v>769947</v>
      </c>
      <c r="E36" s="3">
        <v>6.3</v>
      </c>
      <c r="F36">
        <v>33.4</v>
      </c>
      <c r="G36">
        <v>57.66</v>
      </c>
      <c r="H36">
        <v>22.55</v>
      </c>
      <c r="I36">
        <v>8.77</v>
      </c>
      <c r="J36">
        <v>27.63</v>
      </c>
      <c r="K36">
        <v>0.75</v>
      </c>
      <c r="L36">
        <v>26.59</v>
      </c>
      <c r="M36">
        <v>1.51</v>
      </c>
      <c r="N36">
        <v>26.81</v>
      </c>
      <c r="O36">
        <v>1.19</v>
      </c>
      <c r="P36">
        <v>23730</v>
      </c>
      <c r="Q36" s="3">
        <v>13673777</v>
      </c>
      <c r="R36">
        <f t="shared" si="0"/>
        <v>1.7354385697528927</v>
      </c>
      <c r="S36">
        <v>56.54</v>
      </c>
      <c r="T36">
        <v>459730</v>
      </c>
      <c r="U36">
        <f t="shared" si="1"/>
        <v>3.3621288397492517</v>
      </c>
      <c r="V36">
        <f t="shared" si="2"/>
        <v>0.59709304666425089</v>
      </c>
      <c r="Y36">
        <v>407109</v>
      </c>
      <c r="Z36">
        <f t="shared" si="3"/>
        <v>2.9772973480553322</v>
      </c>
      <c r="AA36">
        <f t="shared" si="4"/>
        <v>0.52874938145093109</v>
      </c>
      <c r="AB36" s="74">
        <v>39.869999999999997</v>
      </c>
      <c r="AC36">
        <v>26.96</v>
      </c>
      <c r="AD36">
        <v>1.08</v>
      </c>
    </row>
    <row r="37" spans="1:30" x14ac:dyDescent="0.25">
      <c r="A37" s="20">
        <v>36</v>
      </c>
      <c r="B37" s="20">
        <v>50</v>
      </c>
      <c r="C37">
        <v>5.94</v>
      </c>
      <c r="D37">
        <f>129159+217563</f>
        <v>346722</v>
      </c>
      <c r="E37" s="3">
        <v>3.74</v>
      </c>
      <c r="F37">
        <v>28.97</v>
      </c>
      <c r="G37">
        <v>45.46</v>
      </c>
      <c r="H37">
        <v>24.17</v>
      </c>
      <c r="I37">
        <v>3.33</v>
      </c>
      <c r="J37">
        <v>28.42</v>
      </c>
      <c r="K37">
        <v>0.59</v>
      </c>
      <c r="L37">
        <v>27.53</v>
      </c>
      <c r="M37">
        <v>1.0900000000000001</v>
      </c>
      <c r="N37">
        <v>27.68</v>
      </c>
      <c r="O37">
        <v>0.89</v>
      </c>
      <c r="P37">
        <v>19678</v>
      </c>
      <c r="Q37" s="3">
        <v>5840713</v>
      </c>
      <c r="R37">
        <f t="shared" si="0"/>
        <v>3.3691092166315997</v>
      </c>
      <c r="S37">
        <v>44.23</v>
      </c>
      <c r="T37">
        <v>177773</v>
      </c>
      <c r="U37">
        <f t="shared" si="1"/>
        <v>3.0436866183974458</v>
      </c>
      <c r="V37">
        <f t="shared" si="2"/>
        <v>0.5127248919883941</v>
      </c>
      <c r="W37">
        <f>AVERAGE(T28:T37)</f>
        <v>694504.2</v>
      </c>
      <c r="X37">
        <f>AVERAGE(Q28:Q37)</f>
        <v>16031314.5</v>
      </c>
      <c r="Y37">
        <v>155864</v>
      </c>
      <c r="Z37">
        <f t="shared" si="3"/>
        <v>2.6685783054226428</v>
      </c>
      <c r="AA37">
        <f t="shared" si="4"/>
        <v>0.4495359394558176</v>
      </c>
      <c r="AB37" s="74">
        <v>27.47</v>
      </c>
      <c r="AC37">
        <v>27.14</v>
      </c>
      <c r="AD37">
        <v>1.03</v>
      </c>
    </row>
    <row r="38" spans="1:30" x14ac:dyDescent="0.25">
      <c r="A38" s="8">
        <v>37</v>
      </c>
      <c r="B38" s="8">
        <v>60</v>
      </c>
      <c r="C38" t="s">
        <v>115</v>
      </c>
      <c r="E38" s="3" t="s">
        <v>115</v>
      </c>
      <c r="F38" t="s">
        <v>115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115</v>
      </c>
      <c r="P38" t="s">
        <v>115</v>
      </c>
      <c r="Q38" s="3" t="s">
        <v>115</v>
      </c>
      <c r="R38" s="3" t="s">
        <v>115</v>
      </c>
      <c r="S38" s="3" t="s">
        <v>115</v>
      </c>
      <c r="T38" s="3" t="s">
        <v>115</v>
      </c>
      <c r="V38" t="e">
        <f t="shared" si="2"/>
        <v>#VALUE!</v>
      </c>
    </row>
    <row r="39" spans="1:30" x14ac:dyDescent="0.25">
      <c r="A39" s="46">
        <v>38</v>
      </c>
      <c r="B39" s="46">
        <v>60</v>
      </c>
      <c r="C39">
        <v>13.87</v>
      </c>
      <c r="D39">
        <f>2198260+2689296</f>
        <v>4887556</v>
      </c>
      <c r="E39" s="3">
        <v>8.4700000000000006</v>
      </c>
      <c r="F39">
        <v>32.549999999999997</v>
      </c>
      <c r="G39">
        <v>40.51</v>
      </c>
      <c r="H39">
        <v>23.17</v>
      </c>
      <c r="I39">
        <v>1.76</v>
      </c>
      <c r="J39">
        <v>29.56</v>
      </c>
      <c r="K39">
        <v>0.28000000000000003</v>
      </c>
      <c r="L39">
        <v>27.99</v>
      </c>
      <c r="M39">
        <v>0.78</v>
      </c>
      <c r="N39">
        <v>27.52</v>
      </c>
      <c r="O39">
        <v>0.61</v>
      </c>
      <c r="P39">
        <v>24716</v>
      </c>
      <c r="Q39" s="3">
        <v>35247019</v>
      </c>
      <c r="R39">
        <f>P39/Q39*1000</f>
        <v>0.70122242110744171</v>
      </c>
      <c r="S39">
        <v>38.880000000000003</v>
      </c>
      <c r="T39">
        <v>179478</v>
      </c>
      <c r="U39">
        <f>(T39/Q39)*100</f>
        <v>0.50920050855931964</v>
      </c>
      <c r="V39">
        <f t="shared" si="2"/>
        <v>3.6721420685512353E-2</v>
      </c>
      <c r="W39">
        <f>AVERAGE(T30:T39)</f>
        <v>663292</v>
      </c>
      <c r="X39">
        <f>AVERAGE(Q30:Q39)</f>
        <v>16982681.777777776</v>
      </c>
      <c r="Y39">
        <v>155864</v>
      </c>
      <c r="Z39">
        <f>(Y39/Q39)*100</f>
        <v>0.44220477198369601</v>
      </c>
      <c r="AA39">
        <f>Y39/D39</f>
        <v>3.1889967091937158E-2</v>
      </c>
      <c r="AB39" s="75">
        <v>25.98</v>
      </c>
      <c r="AC39">
        <v>27.11</v>
      </c>
      <c r="AD39">
        <v>1.06</v>
      </c>
    </row>
    <row r="40" spans="1:30" x14ac:dyDescent="0.25">
      <c r="A40" s="8">
        <v>39</v>
      </c>
      <c r="B40" s="8">
        <v>75</v>
      </c>
      <c r="C40">
        <v>12.05</v>
      </c>
      <c r="D40">
        <f>380534+588958</f>
        <v>969492</v>
      </c>
      <c r="E40" s="3">
        <v>11.96</v>
      </c>
      <c r="F40">
        <v>29.97</v>
      </c>
      <c r="G40">
        <v>42.78</v>
      </c>
      <c r="H40">
        <v>21.45</v>
      </c>
      <c r="I40">
        <v>3.2</v>
      </c>
      <c r="J40">
        <v>28.44</v>
      </c>
      <c r="K40">
        <v>0.43</v>
      </c>
      <c r="L40">
        <v>27.51</v>
      </c>
      <c r="M40">
        <v>0.76</v>
      </c>
      <c r="N40">
        <v>27.2</v>
      </c>
      <c r="O40">
        <v>0.65</v>
      </c>
      <c r="P40">
        <v>23184</v>
      </c>
      <c r="Q40" s="3">
        <v>8042808</v>
      </c>
      <c r="R40">
        <f>P40/Q40*1000</f>
        <v>2.8825753393590894</v>
      </c>
      <c r="S40">
        <v>41.87</v>
      </c>
      <c r="T40">
        <v>568218</v>
      </c>
      <c r="U40">
        <f>(T40/Q40)*100</f>
        <v>7.0649206098168698</v>
      </c>
      <c r="V40">
        <f t="shared" si="2"/>
        <v>0.58609869911252488</v>
      </c>
      <c r="Y40">
        <v>469052</v>
      </c>
      <c r="Z40">
        <f>(Y40/Q40)*100</f>
        <v>5.8319432715539152</v>
      </c>
      <c r="AA40">
        <f>Y40/D40</f>
        <v>0.48381214079125973</v>
      </c>
      <c r="AB40" s="74">
        <v>30.45</v>
      </c>
      <c r="AC40" s="3">
        <v>27</v>
      </c>
      <c r="AD40" s="3">
        <v>1.07</v>
      </c>
    </row>
    <row r="41" spans="1:30" x14ac:dyDescent="0.25">
      <c r="A41" s="16">
        <v>40</v>
      </c>
      <c r="B41" s="16">
        <v>75</v>
      </c>
      <c r="C41">
        <v>9.68</v>
      </c>
      <c r="D41">
        <f>317178+474373</f>
        <v>791551</v>
      </c>
      <c r="E41" s="3">
        <v>7.96</v>
      </c>
      <c r="F41">
        <v>34.35</v>
      </c>
      <c r="G41">
        <v>41.47</v>
      </c>
      <c r="H41">
        <v>23.2</v>
      </c>
      <c r="I41">
        <v>1.9</v>
      </c>
      <c r="J41">
        <v>29.37</v>
      </c>
      <c r="K41">
        <v>0.34</v>
      </c>
      <c r="L41">
        <v>28.43</v>
      </c>
      <c r="M41">
        <v>0.62</v>
      </c>
      <c r="N41">
        <v>28.16</v>
      </c>
      <c r="O41">
        <v>0.53</v>
      </c>
      <c r="P41">
        <v>20998</v>
      </c>
      <c r="Q41" s="3">
        <v>8176488</v>
      </c>
      <c r="R41">
        <f>P41/Q41*1000</f>
        <v>2.5680952506748618</v>
      </c>
      <c r="S41">
        <v>40.11</v>
      </c>
      <c r="T41">
        <v>511147</v>
      </c>
      <c r="U41">
        <f>(T41/Q41)*100</f>
        <v>6.2514248171097426</v>
      </c>
      <c r="V41">
        <f t="shared" si="2"/>
        <v>0.64575371643772794</v>
      </c>
      <c r="W41">
        <f>AVERAGE(T32:T41)</f>
        <v>585076.5555555555</v>
      </c>
      <c r="X41">
        <f>AVERAGE(Q32:Q41)</f>
        <v>13492276.888888888</v>
      </c>
      <c r="Y41">
        <v>429225</v>
      </c>
      <c r="Z41">
        <f>(Y41/Q41)*100</f>
        <v>5.2495032096910066</v>
      </c>
      <c r="AA41">
        <f>Y41/D41</f>
        <v>0.54225817414165356</v>
      </c>
      <c r="AB41" s="74">
        <v>25.89</v>
      </c>
      <c r="AC41" s="3">
        <v>27.19</v>
      </c>
      <c r="AD41" s="3">
        <v>1.07</v>
      </c>
    </row>
    <row r="42" spans="1:30" x14ac:dyDescent="0.25">
      <c r="C42">
        <f>AVERAGE(C4:C41)</f>
        <v>7.1475675675675658</v>
      </c>
      <c r="E42">
        <f>AVERAGE(E4:E41)</f>
        <v>6.0551351351351368</v>
      </c>
      <c r="F42">
        <f>AVERAGE(F4:F41)</f>
        <v>31.677567567567571</v>
      </c>
      <c r="G42">
        <f>AVERAGE(G4:G41)</f>
        <v>53.696486486486499</v>
      </c>
      <c r="W42">
        <f>STDEV(T34:T41)</f>
        <v>199092.75439663319</v>
      </c>
      <c r="X42">
        <f>STDEV(Q34:Q41)</f>
        <v>10734037.154415725</v>
      </c>
    </row>
    <row r="43" spans="1:30" x14ac:dyDescent="0.25">
      <c r="W43">
        <f>W42/SQRT(10)</f>
        <v>62958.656952986297</v>
      </c>
      <c r="X43">
        <f>X42/SQRT(10)</f>
        <v>3394400.5896826205</v>
      </c>
    </row>
  </sheetData>
  <sortState ref="A2:AD43">
    <sortCondition ref="A2:A43"/>
  </sortState>
  <phoneticPr fontId="2" type="noConversion"/>
  <pageMargins left="0.75" right="0.75" top="1" bottom="1" header="0.5" footer="0.5"/>
  <pageSetup orientation="portrait" horizontalDpi="4294967292" verticalDpi="4294967292" r:id="rId1"/>
  <drawing r:id="rId2"/>
  <extLst>
    <ext xmlns:mx="http://schemas.microsoft.com/office/mac/excel/2008/main" uri="http://schemas.microsoft.com/office/mac/excel/2008/main">
      <mx:PLV Mode="1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view="pageLayout" topLeftCell="B1" zoomScale="150" zoomScalePageLayoutView="150" workbookViewId="0">
      <selection activeCell="C8" sqref="C8"/>
    </sheetView>
  </sheetViews>
  <sheetFormatPr defaultColWidth="10.85546875" defaultRowHeight="15" x14ac:dyDescent="0.25"/>
  <cols>
    <col min="1" max="1" width="27.7109375" customWidth="1"/>
    <col min="2" max="2" width="20.85546875" customWidth="1"/>
    <col min="3" max="3" width="22" customWidth="1"/>
    <col min="4" max="4" width="26" customWidth="1"/>
    <col min="5" max="5" width="17.85546875" customWidth="1"/>
  </cols>
  <sheetData>
    <row r="1" spans="1:6" x14ac:dyDescent="0.25">
      <c r="A1" t="s">
        <v>17</v>
      </c>
      <c r="B1" t="s">
        <v>20</v>
      </c>
      <c r="C1" t="s">
        <v>19</v>
      </c>
      <c r="D1" t="s">
        <v>18</v>
      </c>
      <c r="E1" t="s">
        <v>50</v>
      </c>
      <c r="F1" t="s">
        <v>49</v>
      </c>
    </row>
    <row r="2" spans="1:6" x14ac:dyDescent="0.25">
      <c r="A2">
        <v>0</v>
      </c>
      <c r="B2" s="40">
        <v>44.489999999999995</v>
      </c>
      <c r="C2" s="40">
        <v>37.450000000000003</v>
      </c>
      <c r="D2" s="40">
        <v>4.3719999999999999</v>
      </c>
      <c r="E2" s="40">
        <v>0.34</v>
      </c>
      <c r="F2">
        <f>100-SUM(B2:E2)</f>
        <v>13.347999999999999</v>
      </c>
    </row>
    <row r="3" spans="1:6" x14ac:dyDescent="0.25">
      <c r="A3">
        <v>50</v>
      </c>
      <c r="B3">
        <v>44.750000000000007</v>
      </c>
      <c r="C3">
        <v>39.11</v>
      </c>
      <c r="D3">
        <v>4.6239999999999997</v>
      </c>
      <c r="E3">
        <v>0.45</v>
      </c>
      <c r="F3">
        <f>100-SUM(B3:E3)</f>
        <v>11.065999999999988</v>
      </c>
    </row>
    <row r="4" spans="1:6" x14ac:dyDescent="0.25">
      <c r="A4">
        <v>60</v>
      </c>
      <c r="B4">
        <v>42.055555555555564</v>
      </c>
      <c r="C4">
        <v>39.377777777777773</v>
      </c>
      <c r="D4">
        <v>6.42</v>
      </c>
      <c r="E4">
        <v>0.8666666666666667</v>
      </c>
      <c r="F4">
        <f>100-SUM(B4:E4)</f>
        <v>11.280000000000001</v>
      </c>
    </row>
    <row r="5" spans="1:6" x14ac:dyDescent="0.25">
      <c r="A5">
        <v>75</v>
      </c>
      <c r="B5" s="3">
        <v>35.46</v>
      </c>
      <c r="C5" s="3">
        <v>36.599999999999994</v>
      </c>
      <c r="D5">
        <v>8.5789999999999971</v>
      </c>
      <c r="E5">
        <v>1.2</v>
      </c>
      <c r="F5">
        <f>100-SUM(B5:E5)</f>
        <v>18.161000000000001</v>
      </c>
    </row>
    <row r="7" spans="1:6" ht="18.75" thickBot="1" x14ac:dyDescent="0.3">
      <c r="A7" s="57" t="s">
        <v>81</v>
      </c>
      <c r="B7" s="58" t="s">
        <v>82</v>
      </c>
      <c r="C7" s="58" t="s">
        <v>83</v>
      </c>
      <c r="D7" s="58" t="s">
        <v>84</v>
      </c>
      <c r="E7" s="59" t="s">
        <v>85</v>
      </c>
    </row>
    <row r="8" spans="1:6" ht="18.75" x14ac:dyDescent="0.3">
      <c r="A8" s="60" t="s">
        <v>86</v>
      </c>
      <c r="B8" s="61">
        <v>4.4000000000000004</v>
      </c>
      <c r="C8" s="61" t="s">
        <v>122</v>
      </c>
      <c r="D8" s="61" t="s">
        <v>21</v>
      </c>
      <c r="E8" s="62" t="s">
        <v>87</v>
      </c>
    </row>
    <row r="9" spans="1:6" ht="18.75" x14ac:dyDescent="0.3">
      <c r="A9" s="60" t="s">
        <v>50</v>
      </c>
      <c r="B9" s="61">
        <v>4.7</v>
      </c>
      <c r="C9" s="61" t="s">
        <v>26</v>
      </c>
      <c r="D9" s="61" t="s">
        <v>114</v>
      </c>
      <c r="E9" s="62" t="s">
        <v>27</v>
      </c>
    </row>
    <row r="10" spans="1:6" ht="18" x14ac:dyDescent="0.25">
      <c r="A10" s="60" t="s">
        <v>88</v>
      </c>
      <c r="B10" s="61">
        <v>30.4</v>
      </c>
      <c r="C10" s="61" t="s">
        <v>22</v>
      </c>
      <c r="D10" s="61" t="s">
        <v>23</v>
      </c>
      <c r="E10" s="63" t="s">
        <v>24</v>
      </c>
    </row>
    <row r="11" spans="1:6" ht="18" x14ac:dyDescent="0.25">
      <c r="A11" s="60" t="s">
        <v>89</v>
      </c>
      <c r="B11" s="61">
        <v>51.4</v>
      </c>
      <c r="C11" s="61" t="s">
        <v>28</v>
      </c>
      <c r="D11" s="61" t="s">
        <v>29</v>
      </c>
      <c r="E11" s="63" t="s">
        <v>30</v>
      </c>
    </row>
    <row r="12" spans="1:6" x14ac:dyDescent="0.25">
      <c r="A12" s="43" t="s">
        <v>116</v>
      </c>
      <c r="B12">
        <f>100-SUM(B8:B11)</f>
        <v>9.0999999999999943</v>
      </c>
    </row>
    <row r="13" spans="1:6" ht="18.75" thickBot="1" x14ac:dyDescent="0.3">
      <c r="A13" s="48" t="s">
        <v>52</v>
      </c>
      <c r="B13" s="49" t="s">
        <v>53</v>
      </c>
      <c r="C13" s="49" t="s">
        <v>54</v>
      </c>
      <c r="D13" s="50" t="s">
        <v>55</v>
      </c>
      <c r="E13" s="51" t="s">
        <v>56</v>
      </c>
    </row>
    <row r="14" spans="1:6" ht="19.5" thickTop="1" x14ac:dyDescent="0.3">
      <c r="A14" s="52" t="s">
        <v>57</v>
      </c>
      <c r="B14" s="53" t="s">
        <v>65</v>
      </c>
      <c r="C14" s="53" t="s">
        <v>66</v>
      </c>
      <c r="D14" s="54" t="s">
        <v>67</v>
      </c>
      <c r="E14" s="64" t="s">
        <v>68</v>
      </c>
    </row>
    <row r="15" spans="1:6" ht="18" x14ac:dyDescent="0.25">
      <c r="A15" s="55" t="s">
        <v>58</v>
      </c>
      <c r="B15" s="53" t="s">
        <v>59</v>
      </c>
      <c r="C15" s="53" t="s">
        <v>60</v>
      </c>
      <c r="D15" s="53" t="s">
        <v>61</v>
      </c>
      <c r="E15" s="56" t="s">
        <v>62</v>
      </c>
    </row>
    <row r="16" spans="1:6" ht="18.75" x14ac:dyDescent="0.3">
      <c r="A16" s="55" t="s">
        <v>69</v>
      </c>
      <c r="B16" s="53" t="s">
        <v>72</v>
      </c>
      <c r="C16" s="53" t="s">
        <v>63</v>
      </c>
      <c r="D16" s="53" t="s">
        <v>64</v>
      </c>
      <c r="E16" s="56" t="s">
        <v>71</v>
      </c>
    </row>
    <row r="17" spans="1:5" ht="18.75" x14ac:dyDescent="0.3">
      <c r="A17" s="55" t="s">
        <v>109</v>
      </c>
      <c r="B17" s="53" t="s">
        <v>73</v>
      </c>
      <c r="C17" s="53" t="s">
        <v>74</v>
      </c>
      <c r="D17" s="54" t="s">
        <v>75</v>
      </c>
      <c r="E17" s="65" t="s">
        <v>76</v>
      </c>
    </row>
    <row r="18" spans="1:5" ht="18.75" x14ac:dyDescent="0.3">
      <c r="A18" s="55" t="s">
        <v>70</v>
      </c>
      <c r="B18" s="53" t="s">
        <v>77</v>
      </c>
      <c r="C18" s="53" t="s">
        <v>78</v>
      </c>
      <c r="D18" s="54" t="s">
        <v>79</v>
      </c>
      <c r="E18" s="65" t="s">
        <v>80</v>
      </c>
    </row>
  </sheetData>
  <phoneticPr fontId="2" type="noConversion"/>
  <pageMargins left="0.75" right="0.75" top="1" bottom="1" header="0.5" footer="0.5"/>
  <pageSetup orientation="portrait" horizontalDpi="4294967292" verticalDpi="4294967292" r:id="rId1"/>
  <drawing r:id="rId2"/>
  <extLst>
    <ext xmlns:mx="http://schemas.microsoft.com/office/mac/excel/2008/main" uri="http://schemas.microsoft.com/office/mac/excel/2008/main">
      <mx:PLV Mode="1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view="pageLayout" topLeftCell="I1" workbookViewId="0">
      <selection activeCell="L41" sqref="L41:O50"/>
    </sheetView>
  </sheetViews>
  <sheetFormatPr defaultColWidth="10.85546875" defaultRowHeight="15" x14ac:dyDescent="0.25"/>
  <cols>
    <col min="9" max="10" width="22.28515625" customWidth="1"/>
  </cols>
  <sheetData>
    <row r="1" spans="1:15" x14ac:dyDescent="0.25">
      <c r="A1" s="1" t="s">
        <v>38</v>
      </c>
      <c r="B1" s="1" t="s">
        <v>39</v>
      </c>
      <c r="C1" s="1" t="s">
        <v>40</v>
      </c>
      <c r="D1" s="37" t="s">
        <v>42</v>
      </c>
      <c r="E1" s="1" t="s">
        <v>48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0</v>
      </c>
      <c r="K1" s="1" t="s">
        <v>47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s="4">
        <v>2</v>
      </c>
      <c r="B2" s="4">
        <v>1</v>
      </c>
      <c r="C2" s="4">
        <v>0</v>
      </c>
      <c r="D2" s="3">
        <v>13707624</v>
      </c>
      <c r="E2" s="3">
        <v>84.48</v>
      </c>
      <c r="F2" s="3">
        <v>41.7</v>
      </c>
      <c r="G2" s="3">
        <v>38</v>
      </c>
      <c r="H2">
        <v>4.4800000000000004</v>
      </c>
      <c r="I2">
        <v>0.3</v>
      </c>
      <c r="J2">
        <v>1</v>
      </c>
      <c r="K2">
        <v>19</v>
      </c>
      <c r="L2">
        <v>17.82</v>
      </c>
      <c r="M2">
        <v>23.89</v>
      </c>
      <c r="N2">
        <v>25.74</v>
      </c>
      <c r="O2">
        <v>25.93</v>
      </c>
    </row>
    <row r="3" spans="1:15" x14ac:dyDescent="0.25">
      <c r="A3" s="8">
        <v>5</v>
      </c>
      <c r="B3" s="8">
        <v>2</v>
      </c>
      <c r="C3" s="8">
        <v>0</v>
      </c>
      <c r="D3" s="3">
        <v>21748199</v>
      </c>
      <c r="E3" s="3">
        <v>84.36</v>
      </c>
      <c r="F3" s="3">
        <v>49.3</v>
      </c>
      <c r="G3">
        <v>42.1</v>
      </c>
      <c r="H3">
        <v>5.01</v>
      </c>
      <c r="I3">
        <v>0.2</v>
      </c>
      <c r="J3">
        <v>0.4</v>
      </c>
      <c r="K3">
        <v>7.8999999999999915</v>
      </c>
      <c r="L3">
        <v>17.54</v>
      </c>
      <c r="M3">
        <v>22.7</v>
      </c>
      <c r="N3">
        <v>25.65</v>
      </c>
      <c r="O3">
        <v>26.05</v>
      </c>
    </row>
    <row r="4" spans="1:15" x14ac:dyDescent="0.25">
      <c r="A4" s="26">
        <v>7</v>
      </c>
      <c r="B4" s="26">
        <v>9</v>
      </c>
      <c r="C4" s="26">
        <v>0</v>
      </c>
      <c r="D4" s="3">
        <v>20044485</v>
      </c>
      <c r="E4" s="38">
        <v>82.74</v>
      </c>
      <c r="F4" s="38">
        <v>41.6</v>
      </c>
      <c r="G4">
        <v>37.700000000000003</v>
      </c>
      <c r="H4">
        <v>6.32</v>
      </c>
      <c r="I4">
        <v>0.4</v>
      </c>
      <c r="J4" s="3">
        <v>1.3</v>
      </c>
      <c r="K4">
        <v>18.999999999999986</v>
      </c>
      <c r="L4">
        <v>17.829999999999998</v>
      </c>
      <c r="M4">
        <v>22.95</v>
      </c>
      <c r="N4">
        <v>25.85</v>
      </c>
      <c r="O4">
        <v>26.05</v>
      </c>
    </row>
    <row r="5" spans="1:15" ht="14.1" customHeight="1" x14ac:dyDescent="0.25">
      <c r="A5" s="20">
        <v>12</v>
      </c>
      <c r="B5" s="20">
        <v>10</v>
      </c>
      <c r="C5" s="20">
        <v>0</v>
      </c>
      <c r="D5" s="3">
        <v>15110151</v>
      </c>
      <c r="E5" s="3">
        <v>84.78</v>
      </c>
      <c r="F5" s="3">
        <v>50.5</v>
      </c>
      <c r="G5">
        <v>40.299999999999997</v>
      </c>
      <c r="H5">
        <v>3.23</v>
      </c>
      <c r="I5">
        <v>0.2</v>
      </c>
      <c r="J5" s="3">
        <v>0.5</v>
      </c>
      <c r="K5">
        <v>8.5</v>
      </c>
      <c r="L5">
        <v>17.52</v>
      </c>
      <c r="M5">
        <v>22.95</v>
      </c>
      <c r="N5">
        <v>26.65</v>
      </c>
      <c r="O5">
        <v>26.18</v>
      </c>
    </row>
    <row r="6" spans="1:15" x14ac:dyDescent="0.25">
      <c r="A6" s="17">
        <v>13</v>
      </c>
      <c r="B6" s="17">
        <v>17</v>
      </c>
      <c r="C6" s="17">
        <v>0</v>
      </c>
      <c r="D6" s="3">
        <v>21401244</v>
      </c>
      <c r="E6" s="3">
        <v>86.76</v>
      </c>
      <c r="F6" s="3">
        <v>48</v>
      </c>
      <c r="G6" s="3">
        <v>40.700000000000003</v>
      </c>
      <c r="H6" s="3">
        <v>2.95</v>
      </c>
      <c r="I6">
        <v>0.2</v>
      </c>
      <c r="J6" s="3">
        <v>0.9</v>
      </c>
      <c r="K6">
        <v>10.099999999999994</v>
      </c>
      <c r="L6">
        <v>17.809999999999999</v>
      </c>
      <c r="M6">
        <v>24.34</v>
      </c>
      <c r="N6">
        <v>26.23</v>
      </c>
      <c r="O6">
        <v>26.75</v>
      </c>
    </row>
    <row r="7" spans="1:15" x14ac:dyDescent="0.25">
      <c r="A7" s="28">
        <v>8</v>
      </c>
      <c r="B7" s="28">
        <v>18</v>
      </c>
      <c r="C7" s="28">
        <v>0</v>
      </c>
      <c r="D7" s="3">
        <v>12531882</v>
      </c>
      <c r="E7" s="3">
        <v>82.95</v>
      </c>
      <c r="F7" s="3">
        <v>46.3</v>
      </c>
      <c r="G7" s="3">
        <v>40.1</v>
      </c>
      <c r="H7" s="3">
        <v>3.59</v>
      </c>
      <c r="I7">
        <v>0.2</v>
      </c>
      <c r="J7" s="3">
        <v>0.8</v>
      </c>
      <c r="K7">
        <v>12.499999999999986</v>
      </c>
      <c r="L7">
        <v>17.64</v>
      </c>
      <c r="M7">
        <v>24.31</v>
      </c>
      <c r="N7">
        <v>25.84</v>
      </c>
      <c r="O7">
        <v>26.29</v>
      </c>
    </row>
    <row r="8" spans="1:15" ht="14.1" customHeight="1" x14ac:dyDescent="0.25">
      <c r="A8" s="31">
        <v>10</v>
      </c>
      <c r="B8" s="31">
        <v>25</v>
      </c>
      <c r="C8" s="31">
        <v>0</v>
      </c>
      <c r="D8" s="3">
        <v>16492156</v>
      </c>
      <c r="E8" s="3">
        <v>87.86</v>
      </c>
      <c r="F8" s="3">
        <v>41.3</v>
      </c>
      <c r="G8" s="3">
        <v>32.1</v>
      </c>
      <c r="H8" s="3">
        <v>1.51</v>
      </c>
      <c r="I8">
        <v>0.2</v>
      </c>
      <c r="J8" s="3">
        <v>1.3</v>
      </c>
      <c r="K8">
        <v>25.099999999999994</v>
      </c>
      <c r="L8">
        <v>17.940000000000001</v>
      </c>
      <c r="M8">
        <v>26.65</v>
      </c>
      <c r="N8">
        <v>27.11</v>
      </c>
      <c r="O8">
        <v>27.5</v>
      </c>
    </row>
    <row r="9" spans="1:15" ht="14.1" customHeight="1" x14ac:dyDescent="0.25">
      <c r="A9" s="6">
        <v>3</v>
      </c>
      <c r="B9" s="6">
        <v>26</v>
      </c>
      <c r="C9" s="6">
        <v>0</v>
      </c>
      <c r="D9" s="3">
        <v>8412850</v>
      </c>
      <c r="E9" s="3">
        <v>85.81</v>
      </c>
      <c r="F9" s="3">
        <v>52</v>
      </c>
      <c r="G9" s="3">
        <v>44.3</v>
      </c>
      <c r="H9" s="3">
        <v>2.71</v>
      </c>
      <c r="I9">
        <v>0.4</v>
      </c>
      <c r="J9" s="3">
        <v>3.2</v>
      </c>
      <c r="K9">
        <v>9.9999999999994316E-2</v>
      </c>
      <c r="L9">
        <v>17.850000000000001</v>
      </c>
      <c r="M9">
        <v>25.04</v>
      </c>
      <c r="N9">
        <v>26.82</v>
      </c>
      <c r="O9">
        <v>27.15</v>
      </c>
    </row>
    <row r="10" spans="1:15" x14ac:dyDescent="0.25">
      <c r="A10" s="24">
        <v>6</v>
      </c>
      <c r="B10" s="24">
        <v>33</v>
      </c>
      <c r="C10" s="24">
        <v>0</v>
      </c>
      <c r="D10" s="3">
        <v>3279252</v>
      </c>
      <c r="E10" s="3">
        <v>67.66</v>
      </c>
      <c r="F10" s="3">
        <v>30.3</v>
      </c>
      <c r="G10" s="3">
        <v>25.3</v>
      </c>
      <c r="H10" s="3">
        <v>10.52</v>
      </c>
      <c r="I10">
        <v>1.1000000000000001</v>
      </c>
      <c r="J10" s="3">
        <v>3.5</v>
      </c>
      <c r="K10">
        <v>39.799999999999997</v>
      </c>
      <c r="L10">
        <v>17.48</v>
      </c>
      <c r="M10">
        <v>19.55</v>
      </c>
      <c r="N10">
        <v>26.45</v>
      </c>
      <c r="O10">
        <v>26.63</v>
      </c>
    </row>
    <row r="11" spans="1:15" x14ac:dyDescent="0.25">
      <c r="A11" s="29">
        <v>9</v>
      </c>
      <c r="B11" s="29">
        <v>34</v>
      </c>
      <c r="C11" s="29">
        <v>0</v>
      </c>
      <c r="D11" s="3">
        <v>10040927</v>
      </c>
      <c r="E11" s="3">
        <v>81.09</v>
      </c>
      <c r="F11" s="3">
        <v>43.9</v>
      </c>
      <c r="G11" s="3">
        <v>33.9</v>
      </c>
      <c r="H11" s="3">
        <v>3.4</v>
      </c>
      <c r="I11">
        <v>0.2</v>
      </c>
      <c r="J11" s="3">
        <v>1.1000000000000001</v>
      </c>
      <c r="K11">
        <v>20.900000000000006</v>
      </c>
      <c r="L11">
        <v>17.66</v>
      </c>
      <c r="M11">
        <v>23.76</v>
      </c>
      <c r="N11">
        <v>23.76</v>
      </c>
      <c r="O11">
        <v>26.48</v>
      </c>
    </row>
    <row r="12" spans="1:15" s="38" customFormat="1" x14ac:dyDescent="0.25">
      <c r="A12" s="3" t="s">
        <v>51</v>
      </c>
      <c r="B12" s="3"/>
      <c r="C12" s="3"/>
      <c r="D12" s="38">
        <f>AVERAGE(D2:D11)</f>
        <v>14276877</v>
      </c>
      <c r="E12" s="38">
        <f t="shared" ref="E12" si="0">AVERAGE(E2:E11)</f>
        <v>82.849000000000004</v>
      </c>
      <c r="F12" s="38">
        <f>AVERAGE(F2:F11)</f>
        <v>44.489999999999995</v>
      </c>
      <c r="G12" s="38">
        <f t="shared" ref="G12:I12" si="1">AVERAGE(G2:G11)</f>
        <v>37.450000000000003</v>
      </c>
      <c r="H12" s="3">
        <f>AVERAGE(H2:H11)</f>
        <v>4.3719999999999999</v>
      </c>
      <c r="I12" s="38">
        <f t="shared" si="1"/>
        <v>0.34</v>
      </c>
      <c r="J12" s="3">
        <f>AVERAGE(J2:J11)</f>
        <v>1.4</v>
      </c>
      <c r="K12" s="38">
        <f>100-SUM(F12:I12)</f>
        <v>13.347999999999999</v>
      </c>
      <c r="L12" s="38">
        <f>AVERAGE(L2:L11)</f>
        <v>17.708999999999996</v>
      </c>
      <c r="M12" s="38">
        <f>AVERAGE(M2:M11)</f>
        <v>23.614000000000001</v>
      </c>
      <c r="N12" s="38">
        <f>AVERAGE(N2:N11)</f>
        <v>26.009999999999998</v>
      </c>
      <c r="O12" s="38">
        <f>AVERAGE(O2:O11)</f>
        <v>26.500999999999998</v>
      </c>
    </row>
    <row r="13" spans="1:15" x14ac:dyDescent="0.25">
      <c r="A13" t="s">
        <v>8</v>
      </c>
      <c r="D13" s="38">
        <v>26.4</v>
      </c>
      <c r="F13" s="38">
        <v>26.38</v>
      </c>
      <c r="G13" s="38">
        <v>25.99</v>
      </c>
      <c r="H13" s="3">
        <v>17.73</v>
      </c>
      <c r="I13" s="38">
        <v>23.81</v>
      </c>
      <c r="J13" s="3"/>
    </row>
    <row r="14" spans="1:15" x14ac:dyDescent="0.25">
      <c r="H14" s="3"/>
      <c r="J14" s="3"/>
    </row>
    <row r="15" spans="1:15" x14ac:dyDescent="0.25">
      <c r="A15" s="13">
        <v>9</v>
      </c>
      <c r="B15" s="13">
        <v>3</v>
      </c>
      <c r="C15" s="13">
        <v>50</v>
      </c>
      <c r="D15" s="3">
        <v>12849203</v>
      </c>
      <c r="E15" s="3">
        <v>83.33</v>
      </c>
      <c r="F15" s="3">
        <v>46.3</v>
      </c>
      <c r="G15">
        <v>41.2</v>
      </c>
      <c r="H15">
        <v>4.38</v>
      </c>
      <c r="I15">
        <v>0.2</v>
      </c>
      <c r="J15">
        <v>0.5</v>
      </c>
      <c r="K15">
        <v>11.799999999999997</v>
      </c>
      <c r="L15">
        <v>17.559999999999999</v>
      </c>
      <c r="M15">
        <v>23.1</v>
      </c>
      <c r="N15">
        <v>25.49</v>
      </c>
      <c r="O15">
        <v>25.88</v>
      </c>
    </row>
    <row r="16" spans="1:15" x14ac:dyDescent="0.25">
      <c r="A16" s="36">
        <v>13</v>
      </c>
      <c r="B16" s="36">
        <v>4</v>
      </c>
      <c r="C16" s="36">
        <v>50</v>
      </c>
      <c r="D16" s="3">
        <v>22840944</v>
      </c>
      <c r="E16" s="3">
        <v>83.62</v>
      </c>
      <c r="F16" s="3">
        <v>43.4</v>
      </c>
      <c r="G16">
        <v>40.4</v>
      </c>
      <c r="H16">
        <v>4.8899999999999997</v>
      </c>
      <c r="I16">
        <v>0.3</v>
      </c>
      <c r="J16">
        <v>1.2</v>
      </c>
      <c r="K16">
        <v>14.700000000000003</v>
      </c>
      <c r="L16">
        <v>17.54</v>
      </c>
      <c r="M16">
        <v>24.6</v>
      </c>
      <c r="N16">
        <v>26.24</v>
      </c>
      <c r="O16">
        <v>26.46</v>
      </c>
    </row>
    <row r="17" spans="1:15" x14ac:dyDescent="0.25">
      <c r="A17" s="12">
        <v>3</v>
      </c>
      <c r="B17" s="12">
        <v>11</v>
      </c>
      <c r="C17" s="12">
        <v>50</v>
      </c>
      <c r="D17" s="3">
        <v>17199571</v>
      </c>
      <c r="E17" s="3">
        <v>89.37</v>
      </c>
      <c r="F17" s="3">
        <v>57.4</v>
      </c>
      <c r="G17" s="3">
        <v>45.6</v>
      </c>
      <c r="H17">
        <v>3.21</v>
      </c>
      <c r="I17">
        <v>0.3</v>
      </c>
      <c r="J17" s="3">
        <v>1.8</v>
      </c>
      <c r="K17">
        <v>-5.2000000000000028</v>
      </c>
      <c r="L17">
        <v>17.75</v>
      </c>
      <c r="M17">
        <v>24.27</v>
      </c>
      <c r="N17">
        <v>26.86</v>
      </c>
      <c r="O17">
        <v>27.01</v>
      </c>
    </row>
    <row r="18" spans="1:15" x14ac:dyDescent="0.25">
      <c r="A18" s="17">
        <v>13</v>
      </c>
      <c r="B18" s="17">
        <v>12</v>
      </c>
      <c r="C18" s="17">
        <v>50</v>
      </c>
      <c r="D18" s="3">
        <v>14626377</v>
      </c>
      <c r="E18" s="3">
        <v>84.34</v>
      </c>
      <c r="F18" s="3">
        <v>47.4</v>
      </c>
      <c r="G18" s="3">
        <v>40.6</v>
      </c>
      <c r="H18">
        <v>5.63</v>
      </c>
      <c r="I18">
        <v>0.5</v>
      </c>
      <c r="J18" s="3">
        <v>3.1</v>
      </c>
      <c r="K18">
        <v>8.2999999999999972</v>
      </c>
      <c r="L18">
        <v>17.53</v>
      </c>
      <c r="M18">
        <v>23.24</v>
      </c>
      <c r="N18">
        <v>26.42</v>
      </c>
      <c r="O18">
        <v>26.79</v>
      </c>
    </row>
    <row r="19" spans="1:15" x14ac:dyDescent="0.25">
      <c r="A19" s="10">
        <v>2</v>
      </c>
      <c r="B19" s="10">
        <v>19</v>
      </c>
      <c r="C19" s="10">
        <v>50</v>
      </c>
      <c r="D19" s="3">
        <v>16838842</v>
      </c>
      <c r="E19" s="3">
        <v>84.97</v>
      </c>
      <c r="F19" s="3">
        <v>44.6</v>
      </c>
      <c r="G19" s="3">
        <v>42.6</v>
      </c>
      <c r="H19" s="3">
        <v>4.79</v>
      </c>
      <c r="I19">
        <v>0.5</v>
      </c>
      <c r="J19" s="3">
        <v>3.5</v>
      </c>
      <c r="K19">
        <v>8.7999999999999972</v>
      </c>
      <c r="L19">
        <v>17.559999999999999</v>
      </c>
      <c r="M19">
        <v>24.26</v>
      </c>
      <c r="N19">
        <v>26.76</v>
      </c>
      <c r="O19">
        <v>27.03</v>
      </c>
    </row>
    <row r="20" spans="1:15" x14ac:dyDescent="0.25">
      <c r="A20" s="16">
        <v>4</v>
      </c>
      <c r="B20" s="16">
        <v>20</v>
      </c>
      <c r="C20" s="16">
        <v>50</v>
      </c>
      <c r="D20" s="3">
        <v>5763396</v>
      </c>
      <c r="E20" s="3">
        <v>80.69</v>
      </c>
      <c r="F20" s="3">
        <v>42.6</v>
      </c>
      <c r="G20" s="3">
        <v>38.700000000000003</v>
      </c>
      <c r="H20" s="3">
        <v>5.14</v>
      </c>
      <c r="I20">
        <v>0.5</v>
      </c>
      <c r="J20" s="3">
        <v>3.5</v>
      </c>
      <c r="K20">
        <v>14.699999999999989</v>
      </c>
      <c r="L20">
        <v>17.579999999999998</v>
      </c>
      <c r="M20">
        <v>25.13</v>
      </c>
      <c r="N20">
        <v>26.83</v>
      </c>
      <c r="O20">
        <v>27.12</v>
      </c>
    </row>
    <row r="21" spans="1:15" x14ac:dyDescent="0.25">
      <c r="A21" s="15">
        <v>11</v>
      </c>
      <c r="B21" s="15">
        <v>27</v>
      </c>
      <c r="C21" s="15">
        <v>50</v>
      </c>
      <c r="D21" s="3">
        <v>20277265</v>
      </c>
      <c r="E21" s="3">
        <v>82.6</v>
      </c>
      <c r="F21" s="3">
        <v>42.8</v>
      </c>
      <c r="G21" s="3">
        <v>38.6</v>
      </c>
      <c r="H21" s="3">
        <v>5.73</v>
      </c>
      <c r="I21">
        <v>0.3</v>
      </c>
      <c r="J21" s="3">
        <v>1.1000000000000001</v>
      </c>
      <c r="K21">
        <v>17.099999999999994</v>
      </c>
      <c r="L21">
        <v>17.71</v>
      </c>
      <c r="M21">
        <v>23.67</v>
      </c>
      <c r="N21">
        <v>26.12</v>
      </c>
      <c r="O21">
        <v>26.42</v>
      </c>
    </row>
    <row r="22" spans="1:15" x14ac:dyDescent="0.25">
      <c r="A22" s="5">
        <v>1</v>
      </c>
      <c r="B22" s="5">
        <v>28</v>
      </c>
      <c r="C22" s="5">
        <v>50</v>
      </c>
      <c r="D22" s="3">
        <v>22438763</v>
      </c>
      <c r="E22" s="3">
        <v>89.23</v>
      </c>
      <c r="F22" s="3">
        <v>45.6</v>
      </c>
      <c r="G22" s="3">
        <v>36.5</v>
      </c>
      <c r="H22" s="3">
        <v>2.4300000000000002</v>
      </c>
      <c r="I22">
        <v>0.3</v>
      </c>
      <c r="J22" s="3">
        <v>1.6</v>
      </c>
      <c r="K22">
        <v>16.000000000000014</v>
      </c>
      <c r="L22">
        <v>17.75</v>
      </c>
      <c r="M22">
        <v>26.03</v>
      </c>
      <c r="N22">
        <v>26.41</v>
      </c>
      <c r="O22">
        <v>26.79</v>
      </c>
    </row>
    <row r="23" spans="1:15" x14ac:dyDescent="0.25">
      <c r="A23" s="25">
        <v>7</v>
      </c>
      <c r="B23" s="25">
        <v>35</v>
      </c>
      <c r="C23" s="25">
        <v>50</v>
      </c>
      <c r="D23" s="3">
        <v>13673777</v>
      </c>
      <c r="E23" s="3">
        <v>82.4</v>
      </c>
      <c r="F23" s="3">
        <v>43.3</v>
      </c>
      <c r="G23" s="3">
        <v>36.200000000000003</v>
      </c>
      <c r="H23" s="3">
        <v>6.3</v>
      </c>
      <c r="I23">
        <v>0.5</v>
      </c>
      <c r="J23" s="3">
        <v>2.6</v>
      </c>
      <c r="K23">
        <v>17.299999999999997</v>
      </c>
      <c r="L23">
        <v>17.55</v>
      </c>
      <c r="M23">
        <v>23.34</v>
      </c>
      <c r="N23">
        <v>26.5</v>
      </c>
      <c r="O23">
        <v>26.68</v>
      </c>
    </row>
    <row r="24" spans="1:15" x14ac:dyDescent="0.25">
      <c r="A24" s="8">
        <v>5</v>
      </c>
      <c r="B24" s="8">
        <v>36</v>
      </c>
      <c r="C24" s="8">
        <v>50</v>
      </c>
      <c r="D24" s="3">
        <v>5840713</v>
      </c>
      <c r="E24" s="3">
        <v>79.2</v>
      </c>
      <c r="F24" s="3">
        <v>34.1</v>
      </c>
      <c r="G24" s="3">
        <v>30.7</v>
      </c>
      <c r="H24" s="3">
        <v>3.74</v>
      </c>
      <c r="I24">
        <v>1.1000000000000001</v>
      </c>
      <c r="J24" s="3">
        <v>5</v>
      </c>
      <c r="K24">
        <v>29.100000000000009</v>
      </c>
      <c r="L24">
        <v>17.52</v>
      </c>
      <c r="M24">
        <v>28.14</v>
      </c>
      <c r="N24">
        <v>27.48</v>
      </c>
      <c r="O24">
        <v>27.76</v>
      </c>
    </row>
    <row r="25" spans="1:15" s="38" customFormat="1" x14ac:dyDescent="0.25">
      <c r="A25" s="3" t="s">
        <v>51</v>
      </c>
      <c r="B25" s="3"/>
      <c r="C25" s="3"/>
      <c r="D25" s="38">
        <f>AVERAGE(D15:D24)</f>
        <v>15234885.1</v>
      </c>
      <c r="E25" s="38">
        <f t="shared" ref="E25:I25" si="2">AVERAGE(E15:E24)</f>
        <v>83.974999999999994</v>
      </c>
      <c r="F25" s="38">
        <f t="shared" si="2"/>
        <v>44.750000000000007</v>
      </c>
      <c r="G25" s="38">
        <f t="shared" si="2"/>
        <v>39.11</v>
      </c>
      <c r="H25" s="3">
        <f>AVERAGE(H15:H24)</f>
        <v>4.6239999999999997</v>
      </c>
      <c r="I25" s="38">
        <f t="shared" si="2"/>
        <v>0.45</v>
      </c>
      <c r="J25" s="3">
        <f>AVERAGE(J15:J24)</f>
        <v>2.39</v>
      </c>
      <c r="K25" s="38">
        <f>100-SUM(F25:I25)</f>
        <v>11.065999999999988</v>
      </c>
      <c r="L25" s="38">
        <f>AVERAGE(L15:L24)</f>
        <v>17.605</v>
      </c>
      <c r="M25" s="38">
        <f>AVERAGE(M15:M24)</f>
        <v>24.577999999999996</v>
      </c>
      <c r="N25" s="38">
        <f>AVERAGE(N15:N24)</f>
        <v>26.511000000000003</v>
      </c>
      <c r="O25" s="38">
        <f>AVERAGE(O15:O24)</f>
        <v>26.794000000000004</v>
      </c>
    </row>
    <row r="26" spans="1:15" x14ac:dyDescent="0.25">
      <c r="A26" t="s">
        <v>11</v>
      </c>
      <c r="F26" s="38">
        <v>26.67</v>
      </c>
      <c r="G26" s="38">
        <v>26.39</v>
      </c>
      <c r="H26" s="3">
        <v>17.600000000000001</v>
      </c>
      <c r="I26" s="38">
        <v>24.6</v>
      </c>
      <c r="J26" s="3"/>
    </row>
    <row r="27" spans="1:15" x14ac:dyDescent="0.25">
      <c r="H27" s="3"/>
      <c r="J27" s="3"/>
    </row>
    <row r="28" spans="1:15" x14ac:dyDescent="0.25">
      <c r="A28" s="32">
        <v>10</v>
      </c>
      <c r="B28" s="32">
        <v>5</v>
      </c>
      <c r="C28" s="32">
        <v>60</v>
      </c>
      <c r="D28" s="3">
        <v>17317472</v>
      </c>
      <c r="E28" s="3">
        <v>83.97</v>
      </c>
      <c r="F28" s="3">
        <v>45</v>
      </c>
      <c r="G28">
        <v>40.700000000000003</v>
      </c>
      <c r="H28">
        <v>6.55</v>
      </c>
      <c r="I28">
        <v>0.7</v>
      </c>
      <c r="J28">
        <v>5.6</v>
      </c>
      <c r="K28">
        <v>8</v>
      </c>
      <c r="L28">
        <v>17.45</v>
      </c>
      <c r="M28">
        <v>23.4</v>
      </c>
      <c r="N28">
        <v>26.87</v>
      </c>
      <c r="O28">
        <v>27.17</v>
      </c>
    </row>
    <row r="29" spans="1:15" x14ac:dyDescent="0.25">
      <c r="A29" s="22">
        <v>6</v>
      </c>
      <c r="B29" s="22">
        <v>6</v>
      </c>
      <c r="C29" s="22">
        <v>60</v>
      </c>
      <c r="D29" s="3">
        <v>13822410</v>
      </c>
      <c r="E29" s="3">
        <v>91.42</v>
      </c>
      <c r="F29" s="3">
        <v>67.8</v>
      </c>
      <c r="G29" s="3">
        <v>54</v>
      </c>
      <c r="H29">
        <v>2.08</v>
      </c>
      <c r="I29">
        <v>0.4</v>
      </c>
      <c r="J29">
        <v>2.9</v>
      </c>
      <c r="K29">
        <v>-25.200000000000003</v>
      </c>
      <c r="L29">
        <v>17.82</v>
      </c>
      <c r="M29">
        <v>25.45</v>
      </c>
      <c r="N29">
        <v>27.67</v>
      </c>
      <c r="O29">
        <v>28.06</v>
      </c>
    </row>
    <row r="30" spans="1:15" x14ac:dyDescent="0.25">
      <c r="A30" s="15">
        <v>11</v>
      </c>
      <c r="B30" s="15">
        <v>13</v>
      </c>
      <c r="C30" s="15">
        <v>60</v>
      </c>
      <c r="D30" s="3">
        <v>10525726</v>
      </c>
      <c r="E30" s="3">
        <v>86.29</v>
      </c>
      <c r="F30" s="3">
        <v>37</v>
      </c>
      <c r="G30" s="3">
        <v>28.4</v>
      </c>
      <c r="H30" s="3">
        <v>2.58</v>
      </c>
      <c r="I30">
        <v>0.2</v>
      </c>
      <c r="J30" s="3">
        <v>1.3</v>
      </c>
      <c r="K30">
        <v>33.099999999999994</v>
      </c>
      <c r="L30">
        <v>17.579999999999998</v>
      </c>
      <c r="M30">
        <v>24.58</v>
      </c>
      <c r="N30">
        <v>26.87</v>
      </c>
      <c r="O30">
        <v>27.33</v>
      </c>
    </row>
    <row r="31" spans="1:15" x14ac:dyDescent="0.25">
      <c r="A31" s="21">
        <v>5</v>
      </c>
      <c r="B31" s="21">
        <v>14</v>
      </c>
      <c r="C31" s="21">
        <v>60</v>
      </c>
      <c r="D31" s="3">
        <v>17005612</v>
      </c>
      <c r="E31" s="3">
        <v>83.58</v>
      </c>
      <c r="F31" s="3">
        <v>40.5</v>
      </c>
      <c r="G31" s="3">
        <v>39.200000000000003</v>
      </c>
      <c r="H31" s="3">
        <v>8.16</v>
      </c>
      <c r="I31">
        <v>1</v>
      </c>
      <c r="J31" s="3">
        <v>11.5</v>
      </c>
      <c r="K31">
        <v>7.7999999999999972</v>
      </c>
      <c r="L31">
        <v>17.53</v>
      </c>
      <c r="M31">
        <v>23.52</v>
      </c>
      <c r="N31">
        <v>27.42</v>
      </c>
      <c r="O31">
        <v>27.78</v>
      </c>
    </row>
    <row r="32" spans="1:15" x14ac:dyDescent="0.25">
      <c r="A32" s="20">
        <v>12</v>
      </c>
      <c r="B32" s="20">
        <v>21</v>
      </c>
      <c r="C32" s="20">
        <v>60</v>
      </c>
      <c r="D32" s="3">
        <v>20135668</v>
      </c>
      <c r="E32" s="3">
        <v>84.72</v>
      </c>
      <c r="F32" s="3">
        <v>44.5</v>
      </c>
      <c r="G32" s="3">
        <v>41.1</v>
      </c>
      <c r="H32" s="3">
        <v>6.29</v>
      </c>
      <c r="I32">
        <v>0.6</v>
      </c>
      <c r="J32" s="3">
        <v>4.4000000000000004</v>
      </c>
      <c r="K32">
        <v>9.3000000000000114</v>
      </c>
      <c r="L32">
        <v>17.670000000000002</v>
      </c>
      <c r="M32">
        <v>24.72</v>
      </c>
      <c r="N32">
        <v>27.09</v>
      </c>
      <c r="O32">
        <v>27.39</v>
      </c>
    </row>
    <row r="33" spans="1:15" x14ac:dyDescent="0.25">
      <c r="A33" s="2">
        <v>1</v>
      </c>
      <c r="B33" s="2">
        <v>22</v>
      </c>
      <c r="C33" s="2">
        <v>60</v>
      </c>
      <c r="D33" s="3">
        <v>25828071</v>
      </c>
      <c r="E33" s="3">
        <v>79.47</v>
      </c>
      <c r="F33" s="3">
        <v>23.1</v>
      </c>
      <c r="G33" s="3">
        <v>31</v>
      </c>
      <c r="H33" s="3">
        <v>11.82</v>
      </c>
      <c r="I33">
        <v>2</v>
      </c>
      <c r="J33" s="3">
        <v>23.3</v>
      </c>
      <c r="K33">
        <v>20.5</v>
      </c>
      <c r="L33">
        <v>18.04</v>
      </c>
      <c r="M33">
        <v>24.99</v>
      </c>
      <c r="N33">
        <v>28.45</v>
      </c>
      <c r="O33">
        <v>28.82</v>
      </c>
    </row>
    <row r="34" spans="1:15" x14ac:dyDescent="0.25">
      <c r="A34" s="19">
        <v>4</v>
      </c>
      <c r="B34" s="19">
        <v>29</v>
      </c>
      <c r="C34" s="19">
        <v>60</v>
      </c>
      <c r="D34" s="3">
        <v>32716954</v>
      </c>
      <c r="E34" s="3">
        <v>84.47</v>
      </c>
      <c r="F34" s="3">
        <v>45.1</v>
      </c>
      <c r="G34" s="3">
        <v>42.6</v>
      </c>
      <c r="H34" s="3">
        <v>5.0599999999999996</v>
      </c>
      <c r="I34">
        <v>0.6</v>
      </c>
      <c r="J34" s="3">
        <v>4.9000000000000004</v>
      </c>
      <c r="K34">
        <v>6.7999999999999972</v>
      </c>
      <c r="L34">
        <v>17.62</v>
      </c>
      <c r="M34">
        <v>25.05</v>
      </c>
      <c r="N34">
        <v>27.15</v>
      </c>
      <c r="O34">
        <v>27.56</v>
      </c>
    </row>
    <row r="35" spans="1:15" x14ac:dyDescent="0.25">
      <c r="A35" s="27">
        <v>8</v>
      </c>
      <c r="B35" s="27">
        <v>30</v>
      </c>
      <c r="C35" s="27">
        <v>60</v>
      </c>
      <c r="D35" s="3">
        <v>14915986</v>
      </c>
      <c r="E35" s="3">
        <v>82.46</v>
      </c>
      <c r="F35" s="3">
        <v>39.4</v>
      </c>
      <c r="G35" s="3">
        <v>35.700000000000003</v>
      </c>
      <c r="H35" s="3">
        <v>6.77</v>
      </c>
      <c r="I35">
        <v>0.5</v>
      </c>
      <c r="J35" s="3">
        <v>2.9</v>
      </c>
      <c r="K35">
        <v>21.5</v>
      </c>
      <c r="L35">
        <v>17.440000000000001</v>
      </c>
      <c r="M35">
        <v>24.34</v>
      </c>
      <c r="N35">
        <v>26.66</v>
      </c>
      <c r="O35">
        <v>26.86</v>
      </c>
    </row>
    <row r="36" spans="1:15" x14ac:dyDescent="0.25">
      <c r="A36" s="6">
        <v>3</v>
      </c>
      <c r="B36" s="6">
        <v>38</v>
      </c>
      <c r="C36" s="6">
        <v>60</v>
      </c>
      <c r="D36" s="3">
        <v>35247019</v>
      </c>
      <c r="E36" s="3">
        <v>85.78</v>
      </c>
      <c r="F36" s="3">
        <v>36.1</v>
      </c>
      <c r="G36" s="3">
        <v>41.7</v>
      </c>
      <c r="H36" s="3">
        <v>8.4700000000000006</v>
      </c>
      <c r="I36">
        <v>1.8</v>
      </c>
      <c r="J36" s="3">
        <v>56</v>
      </c>
      <c r="K36">
        <v>-5.7000000000000028</v>
      </c>
      <c r="L36">
        <v>18.11</v>
      </c>
      <c r="M36">
        <v>23.07</v>
      </c>
      <c r="N36">
        <v>28.63</v>
      </c>
      <c r="O36">
        <v>28.26</v>
      </c>
    </row>
    <row r="37" spans="1:15" x14ac:dyDescent="0.25">
      <c r="A37" t="s">
        <v>91</v>
      </c>
      <c r="B37">
        <v>37</v>
      </c>
      <c r="C37">
        <v>60</v>
      </c>
      <c r="D37" s="38"/>
      <c r="H37" s="3"/>
      <c r="J37" s="3"/>
      <c r="M37">
        <f>AVERAGE(M28:M36)</f>
        <v>24.346666666666668</v>
      </c>
      <c r="N37">
        <f>AVERAGE(N28:N36)</f>
        <v>27.423333333333332</v>
      </c>
      <c r="O37">
        <f>AVERAGE(O28:O36)</f>
        <v>27.692222222222224</v>
      </c>
    </row>
    <row r="38" spans="1:15" s="38" customFormat="1" x14ac:dyDescent="0.25">
      <c r="A38" s="3" t="s">
        <v>51</v>
      </c>
      <c r="B38" s="3"/>
      <c r="C38" s="3"/>
      <c r="D38" s="38">
        <f>AVERAGE(D28:D37)</f>
        <v>20834990.888888888</v>
      </c>
      <c r="E38" s="38">
        <f>AVERAGE(E28:E37)</f>
        <v>84.684444444444452</v>
      </c>
      <c r="F38" s="38">
        <f t="shared" ref="F38:I38" si="3">AVERAGE(F28:F37)</f>
        <v>42.055555555555564</v>
      </c>
      <c r="G38" s="38">
        <f t="shared" si="3"/>
        <v>39.377777777777773</v>
      </c>
      <c r="H38" s="3">
        <f>AVERAGE(H28:H36)</f>
        <v>6.42</v>
      </c>
      <c r="I38" s="38">
        <f t="shared" si="3"/>
        <v>0.8666666666666667</v>
      </c>
      <c r="J38" s="3">
        <f>AVERAGE(J28:J36)</f>
        <v>12.533333333333333</v>
      </c>
      <c r="K38" s="38">
        <f>100-SUM(F38:I38)</f>
        <v>11.280000000000001</v>
      </c>
      <c r="L38" s="38">
        <f>AVERAGE(L28:L36)</f>
        <v>17.695555555555554</v>
      </c>
    </row>
    <row r="39" spans="1:15" x14ac:dyDescent="0.25">
      <c r="A39" t="s">
        <v>12</v>
      </c>
      <c r="D39" s="38">
        <v>26.85</v>
      </c>
      <c r="F39" s="38">
        <v>27.66</v>
      </c>
      <c r="G39" s="38">
        <v>27.48</v>
      </c>
      <c r="H39" s="3">
        <v>17.78</v>
      </c>
      <c r="I39" s="38">
        <v>24.05</v>
      </c>
      <c r="J39" s="3"/>
    </row>
    <row r="40" spans="1:15" x14ac:dyDescent="0.25">
      <c r="H40" s="3"/>
      <c r="J40" s="3"/>
    </row>
    <row r="41" spans="1:15" x14ac:dyDescent="0.25">
      <c r="A41" s="34">
        <v>11</v>
      </c>
      <c r="B41" s="34">
        <v>7</v>
      </c>
      <c r="C41" s="34">
        <v>75</v>
      </c>
      <c r="D41" s="3">
        <v>16610531</v>
      </c>
      <c r="E41" s="3">
        <v>83.29</v>
      </c>
      <c r="F41" s="3">
        <v>24.7</v>
      </c>
      <c r="G41" s="3">
        <v>35.4</v>
      </c>
      <c r="H41">
        <v>8.6999999999999993</v>
      </c>
      <c r="I41">
        <v>1.8</v>
      </c>
      <c r="J41" s="3">
        <v>33</v>
      </c>
      <c r="K41">
        <v>5.1000000000000085</v>
      </c>
      <c r="L41">
        <v>17.95</v>
      </c>
      <c r="M41">
        <v>24.87</v>
      </c>
      <c r="N41">
        <v>29.66</v>
      </c>
      <c r="O41">
        <v>30.16</v>
      </c>
    </row>
    <row r="42" spans="1:15" x14ac:dyDescent="0.25">
      <c r="A42" s="39">
        <v>1</v>
      </c>
      <c r="B42" s="39">
        <v>8</v>
      </c>
      <c r="C42" s="39">
        <v>75</v>
      </c>
      <c r="D42" s="3">
        <v>16347835</v>
      </c>
      <c r="E42" s="3">
        <v>86.23</v>
      </c>
      <c r="F42" s="3">
        <v>44.7</v>
      </c>
      <c r="G42" s="3">
        <v>45.8</v>
      </c>
      <c r="H42">
        <v>6.54</v>
      </c>
      <c r="I42">
        <v>0.9</v>
      </c>
      <c r="J42" s="3">
        <v>13.2</v>
      </c>
      <c r="K42">
        <v>-4.6000000000000085</v>
      </c>
      <c r="L42">
        <v>17.7</v>
      </c>
      <c r="M42">
        <v>23.6</v>
      </c>
      <c r="N42">
        <v>27.77</v>
      </c>
      <c r="O42">
        <v>27.99</v>
      </c>
    </row>
    <row r="43" spans="1:15" ht="14.1" customHeight="1" x14ac:dyDescent="0.25">
      <c r="A43" s="11">
        <v>7</v>
      </c>
      <c r="B43" s="11">
        <v>15</v>
      </c>
      <c r="C43" s="11">
        <v>75</v>
      </c>
      <c r="D43" s="3">
        <v>26736873</v>
      </c>
      <c r="E43" s="3">
        <v>86.97</v>
      </c>
      <c r="F43" s="3">
        <v>41.7</v>
      </c>
      <c r="G43" s="3">
        <v>42.6</v>
      </c>
      <c r="H43" s="3">
        <v>7.15</v>
      </c>
      <c r="I43">
        <v>1.2</v>
      </c>
      <c r="J43" s="3">
        <v>16.7</v>
      </c>
      <c r="K43">
        <v>-2.3000000000000114</v>
      </c>
      <c r="L43">
        <v>17.95</v>
      </c>
      <c r="M43">
        <v>23.75</v>
      </c>
      <c r="N43">
        <v>28.02</v>
      </c>
      <c r="O43">
        <v>28.22</v>
      </c>
    </row>
    <row r="44" spans="1:15" x14ac:dyDescent="0.25">
      <c r="A44" s="30">
        <v>9</v>
      </c>
      <c r="B44" s="30">
        <v>16</v>
      </c>
      <c r="C44" s="30">
        <v>75</v>
      </c>
      <c r="D44" s="3">
        <v>16832582</v>
      </c>
      <c r="E44" s="3">
        <v>83.75</v>
      </c>
      <c r="F44" s="3">
        <v>43.5</v>
      </c>
      <c r="G44" s="3">
        <v>38.9</v>
      </c>
      <c r="H44" s="3">
        <v>5.3</v>
      </c>
      <c r="I44">
        <v>0.6</v>
      </c>
      <c r="J44" s="3">
        <v>5.0999999999999996</v>
      </c>
      <c r="K44">
        <v>11.900000000000006</v>
      </c>
      <c r="L44">
        <v>17.37</v>
      </c>
      <c r="M44">
        <v>23.7</v>
      </c>
      <c r="N44">
        <v>26.9</v>
      </c>
      <c r="O44">
        <v>27.3</v>
      </c>
    </row>
    <row r="45" spans="1:15" x14ac:dyDescent="0.25">
      <c r="A45" s="22">
        <v>6</v>
      </c>
      <c r="B45" s="22">
        <v>23</v>
      </c>
      <c r="C45" s="22">
        <v>75</v>
      </c>
      <c r="D45" s="3">
        <v>2263753</v>
      </c>
      <c r="E45" s="3">
        <v>81.83</v>
      </c>
      <c r="F45" s="3">
        <v>41.7</v>
      </c>
      <c r="G45" s="3">
        <v>40</v>
      </c>
      <c r="H45" s="3">
        <v>10.78</v>
      </c>
      <c r="I45">
        <v>1.5</v>
      </c>
      <c r="J45" s="3">
        <v>14.1</v>
      </c>
      <c r="K45">
        <v>2.7000000000000028</v>
      </c>
      <c r="L45">
        <v>17.93</v>
      </c>
      <c r="M45">
        <v>22.39</v>
      </c>
      <c r="N45">
        <v>28.16</v>
      </c>
      <c r="O45">
        <v>28.18</v>
      </c>
    </row>
    <row r="46" spans="1:15" x14ac:dyDescent="0.25">
      <c r="A46" s="14">
        <v>10</v>
      </c>
      <c r="B46" s="14">
        <v>24</v>
      </c>
      <c r="C46" s="14">
        <v>75</v>
      </c>
      <c r="D46" s="3">
        <v>1021786</v>
      </c>
      <c r="E46" s="3">
        <v>41.97</v>
      </c>
      <c r="F46" s="3">
        <v>15</v>
      </c>
      <c r="G46" s="3">
        <v>15.3</v>
      </c>
      <c r="H46" s="3">
        <v>7.87</v>
      </c>
      <c r="I46">
        <v>0.7</v>
      </c>
      <c r="J46" s="3">
        <v>6.9</v>
      </c>
      <c r="K46">
        <v>62.099999999999994</v>
      </c>
      <c r="L46">
        <v>17.600000000000001</v>
      </c>
      <c r="M46">
        <v>23.82</v>
      </c>
      <c r="N46">
        <v>28.39</v>
      </c>
      <c r="O46">
        <v>28.65</v>
      </c>
    </row>
    <row r="47" spans="1:15" x14ac:dyDescent="0.25">
      <c r="A47" s="10">
        <v>2</v>
      </c>
      <c r="B47" s="10">
        <v>31</v>
      </c>
      <c r="C47" s="10">
        <v>75</v>
      </c>
      <c r="D47" s="3">
        <v>11987351</v>
      </c>
      <c r="E47" s="3">
        <v>84.47</v>
      </c>
      <c r="F47" s="3">
        <v>36.4</v>
      </c>
      <c r="G47" s="3">
        <v>39.9</v>
      </c>
      <c r="H47" s="3">
        <v>8.5399999999999991</v>
      </c>
      <c r="I47">
        <v>1.3</v>
      </c>
      <c r="J47" s="3">
        <v>16</v>
      </c>
      <c r="K47">
        <v>6.4000000000000057</v>
      </c>
      <c r="L47">
        <v>17.8</v>
      </c>
      <c r="M47">
        <v>24.08</v>
      </c>
      <c r="N47">
        <v>28.12</v>
      </c>
      <c r="O47">
        <v>28.08</v>
      </c>
    </row>
    <row r="48" spans="1:15" x14ac:dyDescent="0.25">
      <c r="A48" s="27">
        <v>8</v>
      </c>
      <c r="B48" s="27">
        <v>32</v>
      </c>
      <c r="C48" s="27">
        <v>75</v>
      </c>
      <c r="D48" s="3">
        <v>25142157</v>
      </c>
      <c r="E48" s="3">
        <v>83.21</v>
      </c>
      <c r="F48" s="3">
        <v>38.4</v>
      </c>
      <c r="G48" s="3">
        <v>39.200000000000003</v>
      </c>
      <c r="H48" s="3">
        <v>10.99</v>
      </c>
      <c r="I48">
        <v>1.4</v>
      </c>
      <c r="J48" s="3">
        <v>15.9</v>
      </c>
      <c r="K48">
        <v>5.0999999999999943</v>
      </c>
      <c r="L48">
        <v>17.8</v>
      </c>
      <c r="M48">
        <v>22.87</v>
      </c>
      <c r="N48">
        <v>27.81</v>
      </c>
      <c r="O48">
        <v>28.09</v>
      </c>
    </row>
    <row r="49" spans="1:15" x14ac:dyDescent="0.25">
      <c r="A49" s="8">
        <v>12</v>
      </c>
      <c r="B49" s="8">
        <v>39</v>
      </c>
      <c r="C49" s="8">
        <v>75</v>
      </c>
      <c r="D49" s="3">
        <v>8042808</v>
      </c>
      <c r="E49" s="3">
        <v>77.989999999999995</v>
      </c>
      <c r="F49" s="3">
        <v>33.4</v>
      </c>
      <c r="G49" s="3">
        <v>32.200000000000003</v>
      </c>
      <c r="H49" s="3">
        <v>11.96</v>
      </c>
      <c r="I49">
        <v>1.4</v>
      </c>
      <c r="J49" s="3">
        <v>12.6</v>
      </c>
      <c r="K49">
        <v>20.400000000000006</v>
      </c>
      <c r="L49">
        <v>17.39</v>
      </c>
      <c r="M49">
        <v>22.37</v>
      </c>
      <c r="N49">
        <v>27.3</v>
      </c>
      <c r="O49">
        <v>27.68</v>
      </c>
    </row>
    <row r="50" spans="1:15" x14ac:dyDescent="0.25">
      <c r="A50" s="19">
        <v>4</v>
      </c>
      <c r="B50" s="19">
        <v>40</v>
      </c>
      <c r="C50" s="19">
        <v>75</v>
      </c>
      <c r="D50" s="3">
        <v>8176488</v>
      </c>
      <c r="E50" s="3">
        <v>81.23</v>
      </c>
      <c r="F50" s="3">
        <v>35.1</v>
      </c>
      <c r="G50" s="3">
        <v>36.700000000000003</v>
      </c>
      <c r="H50" s="3">
        <v>7.96</v>
      </c>
      <c r="I50">
        <v>1.2</v>
      </c>
      <c r="J50" s="3">
        <v>17</v>
      </c>
      <c r="K50">
        <v>9.9999999999999858</v>
      </c>
      <c r="L50">
        <v>17.649999999999999</v>
      </c>
      <c r="M50">
        <v>24.07</v>
      </c>
      <c r="N50">
        <v>24.07</v>
      </c>
      <c r="O50">
        <v>28.67</v>
      </c>
    </row>
    <row r="51" spans="1:15" x14ac:dyDescent="0.25">
      <c r="A51" t="s">
        <v>90</v>
      </c>
      <c r="D51">
        <f>AVERAGE(D41:D50)</f>
        <v>13316216.4</v>
      </c>
      <c r="E51">
        <f t="shared" ref="E51:I51" si="4">AVERAGE(E41:E50)</f>
        <v>79.094000000000008</v>
      </c>
      <c r="F51">
        <f t="shared" si="4"/>
        <v>35.46</v>
      </c>
      <c r="G51">
        <f t="shared" si="4"/>
        <v>36.599999999999994</v>
      </c>
      <c r="H51">
        <f>AVERAGE(H41:H50)</f>
        <v>8.5789999999999971</v>
      </c>
      <c r="I51">
        <f t="shared" si="4"/>
        <v>1.2</v>
      </c>
      <c r="J51">
        <f>AVERAGE(J41:J50)</f>
        <v>15.05</v>
      </c>
      <c r="K51">
        <f>100-SUM(F51:I51)</f>
        <v>18.161000000000001</v>
      </c>
      <c r="L51">
        <f>AVERAGE(L41:L50)</f>
        <v>17.714000000000002</v>
      </c>
      <c r="M51">
        <f>AVERAGE(M41:M50)</f>
        <v>23.552</v>
      </c>
      <c r="N51">
        <f>AVERAGE(N41:N50)</f>
        <v>27.619999999999997</v>
      </c>
      <c r="O51">
        <f>AVERAGE(O41:O50)</f>
        <v>28.302</v>
      </c>
    </row>
    <row r="52" spans="1:15" x14ac:dyDescent="0.25">
      <c r="A52" t="s">
        <v>8</v>
      </c>
      <c r="D52">
        <v>26.74</v>
      </c>
      <c r="F52">
        <v>28.11</v>
      </c>
      <c r="G52">
        <v>27.94</v>
      </c>
      <c r="H52">
        <v>17.77</v>
      </c>
      <c r="I52">
        <v>23.65</v>
      </c>
    </row>
  </sheetData>
  <phoneticPr fontId="2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5" sqref="B5"/>
    </sheetView>
  </sheetViews>
  <sheetFormatPr defaultColWidth="10.85546875" defaultRowHeight="15" x14ac:dyDescent="0.25"/>
  <cols>
    <col min="1" max="1" width="14.28515625" customWidth="1"/>
    <col min="2" max="2" width="15.85546875" customWidth="1"/>
  </cols>
  <sheetData>
    <row r="1" spans="1:3" x14ac:dyDescent="0.25">
      <c r="A1" s="68" t="s">
        <v>120</v>
      </c>
      <c r="B1" s="69" t="s">
        <v>121</v>
      </c>
      <c r="C1" s="70"/>
    </row>
    <row r="2" spans="1:3" x14ac:dyDescent="0.25">
      <c r="A2">
        <v>0</v>
      </c>
      <c r="B2" s="67" t="s">
        <v>127</v>
      </c>
      <c r="C2" s="66"/>
    </row>
    <row r="3" spans="1:3" x14ac:dyDescent="0.25">
      <c r="A3">
        <v>50</v>
      </c>
      <c r="B3" s="67" t="s">
        <v>128</v>
      </c>
      <c r="C3" s="66"/>
    </row>
    <row r="4" spans="1:3" x14ac:dyDescent="0.25">
      <c r="A4">
        <v>60</v>
      </c>
      <c r="B4" s="67" t="s">
        <v>129</v>
      </c>
      <c r="C4" s="66"/>
    </row>
    <row r="5" spans="1:3" x14ac:dyDescent="0.25">
      <c r="A5">
        <v>75</v>
      </c>
      <c r="B5" s="71" t="s">
        <v>130</v>
      </c>
      <c r="C5" s="66"/>
    </row>
  </sheetData>
  <pageMargins left="0.7" right="0.7" top="0.75" bottom="0.75" header="0.3" footer="0.3"/>
  <pageSetup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L30" sqref="L30"/>
    </sheetView>
  </sheetViews>
  <sheetFormatPr defaultColWidth="8.85546875" defaultRowHeight="15" x14ac:dyDescent="0.25"/>
  <cols>
    <col min="1" max="2" width="16.42578125" customWidth="1"/>
    <col min="3" max="3" width="15.7109375" customWidth="1"/>
  </cols>
  <sheetData>
    <row r="1" spans="1:3" x14ac:dyDescent="0.25">
      <c r="A1" t="s">
        <v>131</v>
      </c>
      <c r="B1" t="s">
        <v>133</v>
      </c>
      <c r="C1" t="s">
        <v>132</v>
      </c>
    </row>
    <row r="2" spans="1:3" x14ac:dyDescent="0.25">
      <c r="A2">
        <v>1</v>
      </c>
      <c r="B2">
        <v>0</v>
      </c>
      <c r="C2">
        <v>4</v>
      </c>
    </row>
    <row r="3" spans="1:3" x14ac:dyDescent="0.25">
      <c r="A3">
        <v>2</v>
      </c>
      <c r="B3">
        <v>0</v>
      </c>
      <c r="C3">
        <v>4.5</v>
      </c>
    </row>
    <row r="4" spans="1:3" x14ac:dyDescent="0.25">
      <c r="A4">
        <v>3</v>
      </c>
      <c r="B4">
        <v>50</v>
      </c>
      <c r="C4">
        <v>3.6</v>
      </c>
    </row>
    <row r="5" spans="1:3" x14ac:dyDescent="0.25">
      <c r="A5">
        <v>4</v>
      </c>
      <c r="B5">
        <v>50</v>
      </c>
      <c r="C5">
        <v>3.7</v>
      </c>
    </row>
    <row r="6" spans="1:3" x14ac:dyDescent="0.25">
      <c r="A6">
        <v>5</v>
      </c>
      <c r="B6">
        <v>60</v>
      </c>
      <c r="C6">
        <v>3.8</v>
      </c>
    </row>
    <row r="7" spans="1:3" x14ac:dyDescent="0.25">
      <c r="A7">
        <v>6</v>
      </c>
      <c r="B7">
        <v>60</v>
      </c>
      <c r="C7">
        <v>0.6</v>
      </c>
    </row>
    <row r="8" spans="1:3" x14ac:dyDescent="0.25">
      <c r="A8">
        <v>7</v>
      </c>
      <c r="B8">
        <v>75</v>
      </c>
      <c r="C8">
        <v>1.7</v>
      </c>
    </row>
    <row r="9" spans="1:3" x14ac:dyDescent="0.25">
      <c r="A9">
        <v>8</v>
      </c>
      <c r="B9">
        <v>75</v>
      </c>
      <c r="C9">
        <v>2.2999999999999998</v>
      </c>
    </row>
    <row r="10" spans="1:3" x14ac:dyDescent="0.25">
      <c r="A10">
        <v>9</v>
      </c>
      <c r="B10">
        <v>0</v>
      </c>
      <c r="C10">
        <v>4</v>
      </c>
    </row>
    <row r="11" spans="1:3" x14ac:dyDescent="0.25">
      <c r="A11">
        <v>10</v>
      </c>
      <c r="B11">
        <v>0</v>
      </c>
      <c r="C11">
        <v>4</v>
      </c>
    </row>
    <row r="12" spans="1:3" x14ac:dyDescent="0.25">
      <c r="A12">
        <v>11</v>
      </c>
      <c r="B12">
        <v>50</v>
      </c>
      <c r="C12">
        <v>1.3</v>
      </c>
    </row>
    <row r="13" spans="1:3" x14ac:dyDescent="0.25">
      <c r="A13">
        <v>12</v>
      </c>
      <c r="B13">
        <v>50</v>
      </c>
      <c r="C13">
        <v>3.4</v>
      </c>
    </row>
    <row r="14" spans="1:3" x14ac:dyDescent="0.25">
      <c r="A14">
        <v>13</v>
      </c>
      <c r="B14">
        <v>60</v>
      </c>
      <c r="C14">
        <v>2.5</v>
      </c>
    </row>
    <row r="15" spans="1:3" x14ac:dyDescent="0.25">
      <c r="A15">
        <v>14</v>
      </c>
      <c r="B15">
        <v>60</v>
      </c>
      <c r="C15">
        <v>3</v>
      </c>
    </row>
    <row r="16" spans="1:3" x14ac:dyDescent="0.25">
      <c r="A16">
        <v>15</v>
      </c>
      <c r="B16">
        <v>75</v>
      </c>
      <c r="C16">
        <v>2.5</v>
      </c>
    </row>
    <row r="17" spans="1:3" x14ac:dyDescent="0.25">
      <c r="A17">
        <v>16</v>
      </c>
      <c r="B17">
        <v>75</v>
      </c>
      <c r="C17">
        <v>3.3</v>
      </c>
    </row>
    <row r="18" spans="1:3" x14ac:dyDescent="0.25">
      <c r="A18">
        <v>17</v>
      </c>
      <c r="B18">
        <v>0</v>
      </c>
      <c r="C18">
        <v>2.9</v>
      </c>
    </row>
    <row r="19" spans="1:3" x14ac:dyDescent="0.25">
      <c r="A19">
        <v>18</v>
      </c>
      <c r="B19">
        <v>0</v>
      </c>
      <c r="C19">
        <v>3.5</v>
      </c>
    </row>
    <row r="20" spans="1:3" x14ac:dyDescent="0.25">
      <c r="A20">
        <v>19</v>
      </c>
      <c r="B20">
        <v>50</v>
      </c>
      <c r="C20">
        <v>3.1</v>
      </c>
    </row>
    <row r="21" spans="1:3" x14ac:dyDescent="0.25">
      <c r="A21">
        <v>20</v>
      </c>
      <c r="B21">
        <v>50</v>
      </c>
      <c r="C21">
        <v>3.1</v>
      </c>
    </row>
    <row r="22" spans="1:3" x14ac:dyDescent="0.25">
      <c r="A22">
        <v>21</v>
      </c>
      <c r="B22">
        <v>60</v>
      </c>
      <c r="C22">
        <v>3</v>
      </c>
    </row>
    <row r="23" spans="1:3" x14ac:dyDescent="0.25">
      <c r="A23">
        <v>22</v>
      </c>
      <c r="B23">
        <v>60</v>
      </c>
      <c r="C23">
        <v>2.5</v>
      </c>
    </row>
    <row r="24" spans="1:3" x14ac:dyDescent="0.25">
      <c r="A24">
        <v>23</v>
      </c>
      <c r="B24">
        <v>75</v>
      </c>
      <c r="C24">
        <v>1.9</v>
      </c>
    </row>
    <row r="25" spans="1:3" x14ac:dyDescent="0.25">
      <c r="A25">
        <v>24</v>
      </c>
      <c r="B25">
        <v>75</v>
      </c>
      <c r="C25">
        <v>2.7</v>
      </c>
    </row>
    <row r="26" spans="1:3" x14ac:dyDescent="0.25">
      <c r="A26">
        <v>25</v>
      </c>
      <c r="B26">
        <v>0</v>
      </c>
      <c r="C26">
        <v>2.2999999999999998</v>
      </c>
    </row>
    <row r="27" spans="1:3" x14ac:dyDescent="0.25">
      <c r="A27">
        <v>26</v>
      </c>
      <c r="B27">
        <v>0</v>
      </c>
      <c r="C27">
        <v>1.7</v>
      </c>
    </row>
    <row r="28" spans="1:3" x14ac:dyDescent="0.25">
      <c r="A28">
        <v>27</v>
      </c>
      <c r="B28">
        <v>50</v>
      </c>
      <c r="C28">
        <v>3.4</v>
      </c>
    </row>
    <row r="29" spans="1:3" x14ac:dyDescent="0.25">
      <c r="A29">
        <v>28</v>
      </c>
      <c r="B29">
        <v>50</v>
      </c>
      <c r="C29">
        <v>2.5</v>
      </c>
    </row>
    <row r="30" spans="1:3" x14ac:dyDescent="0.25">
      <c r="A30">
        <v>29</v>
      </c>
      <c r="B30">
        <v>60</v>
      </c>
      <c r="C30">
        <v>2.7</v>
      </c>
    </row>
    <row r="31" spans="1:3" x14ac:dyDescent="0.25">
      <c r="A31">
        <v>30</v>
      </c>
      <c r="B31">
        <v>60</v>
      </c>
      <c r="C31">
        <v>4.0999999999999996</v>
      </c>
    </row>
    <row r="32" spans="1:3" x14ac:dyDescent="0.25">
      <c r="A32">
        <v>31</v>
      </c>
      <c r="B32">
        <v>75</v>
      </c>
      <c r="C32">
        <v>2.7</v>
      </c>
    </row>
    <row r="33" spans="1:3" x14ac:dyDescent="0.25">
      <c r="A33">
        <v>32</v>
      </c>
      <c r="B33">
        <v>75</v>
      </c>
      <c r="C33">
        <v>2.7</v>
      </c>
    </row>
    <row r="34" spans="1:3" x14ac:dyDescent="0.25">
      <c r="A34">
        <v>33</v>
      </c>
      <c r="B34">
        <v>0</v>
      </c>
      <c r="C34">
        <v>2.2000000000000002</v>
      </c>
    </row>
    <row r="35" spans="1:3" x14ac:dyDescent="0.25">
      <c r="A35">
        <v>34</v>
      </c>
      <c r="B35">
        <v>0</v>
      </c>
      <c r="C35">
        <v>4.3</v>
      </c>
    </row>
    <row r="36" spans="1:3" x14ac:dyDescent="0.25">
      <c r="A36">
        <v>35</v>
      </c>
      <c r="B36">
        <v>50</v>
      </c>
      <c r="C36">
        <v>3.6</v>
      </c>
    </row>
    <row r="37" spans="1:3" x14ac:dyDescent="0.25">
      <c r="A37">
        <v>36</v>
      </c>
      <c r="B37">
        <v>50</v>
      </c>
      <c r="C37">
        <v>3.1</v>
      </c>
    </row>
    <row r="38" spans="1:3" x14ac:dyDescent="0.25">
      <c r="A38">
        <v>38</v>
      </c>
      <c r="B38">
        <v>60</v>
      </c>
      <c r="C38">
        <v>1.6</v>
      </c>
    </row>
    <row r="39" spans="1:3" x14ac:dyDescent="0.25">
      <c r="A39">
        <v>39</v>
      </c>
      <c r="B39">
        <v>75</v>
      </c>
      <c r="C39">
        <v>4.0999999999999996</v>
      </c>
    </row>
    <row r="40" spans="1:3" x14ac:dyDescent="0.25">
      <c r="A40">
        <v>40</v>
      </c>
      <c r="B40">
        <v>75</v>
      </c>
      <c r="C40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samples</vt:lpstr>
      <vt:lpstr>pivot</vt:lpstr>
      <vt:lpstr>rn4 aligned</vt:lpstr>
      <vt:lpstr>rn6 aligned</vt:lpstr>
      <vt:lpstr>reporting-transcriptome aligned</vt:lpstr>
      <vt:lpstr>pie charts</vt:lpstr>
      <vt:lpstr>data split by treatment</vt:lpstr>
      <vt:lpstr>Sheet1</vt:lpstr>
      <vt:lpstr>tRNA reads to repeatmasker</vt:lpstr>
    </vt:vector>
  </TitlesOfParts>
  <Company>Brown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Stermer, Angela</dc:creator>
  <cp:lastModifiedBy>Spade, Daniel</cp:lastModifiedBy>
  <dcterms:created xsi:type="dcterms:W3CDTF">2018-03-02T18:46:40Z</dcterms:created>
  <dcterms:modified xsi:type="dcterms:W3CDTF">2020-07-06T19:58:06Z</dcterms:modified>
</cp:coreProperties>
</file>